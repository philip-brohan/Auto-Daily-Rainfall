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4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rtsr\Documents\STAT1006 THA\"/>
    </mc:Choice>
  </mc:AlternateContent>
  <bookViews>
    <workbookView xWindow="0" yWindow="0" windowWidth="14380" windowHeight="4090"/>
  </bookViews>
  <sheets>
    <sheet name="Form 5 template" sheetId="1" r:id="rId1"/>
  </sheets>
  <calcPr calcId="171027"/>
</workbook>
</file>

<file path=xl/calcChain.xml><?xml version="1.0" encoding="utf-8"?>
<calcChain xmlns="http://schemas.openxmlformats.org/spreadsheetml/2006/main">
  <c r="Y13" i="1" l="1"/>
  <c r="Y12" i="1"/>
  <c r="Y11" i="1"/>
  <c r="Y10" i="1"/>
  <c r="Y9" i="1"/>
  <c r="Y8" i="1"/>
  <c r="Y7" i="1"/>
  <c r="Y6" i="1"/>
  <c r="Y5" i="1"/>
  <c r="Y4" i="1"/>
  <c r="Y3" i="1"/>
  <c r="Y2" i="1"/>
  <c r="D2" i="1"/>
  <c r="E2" i="1"/>
  <c r="D3" i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</calcChain>
</file>

<file path=xl/sharedStrings.xml><?xml version="1.0" encoding="utf-8"?>
<sst xmlns="http://schemas.openxmlformats.org/spreadsheetml/2006/main" count="151" uniqueCount="58">
  <si>
    <t>docnum</t>
  </si>
  <si>
    <t>imagename</t>
  </si>
  <si>
    <t>stnname</t>
  </si>
  <si>
    <t>stno</t>
  </si>
  <si>
    <t>stnlat</t>
  </si>
  <si>
    <t>stnlatmin</t>
  </si>
  <si>
    <t>stnlong</t>
  </si>
  <si>
    <t>stnlongmin</t>
  </si>
  <si>
    <t>year</t>
  </si>
  <si>
    <t>month</t>
  </si>
  <si>
    <t>day</t>
  </si>
  <si>
    <t>archcode</t>
  </si>
  <si>
    <t>comments</t>
  </si>
  <si>
    <t>image_number</t>
  </si>
  <si>
    <t>row_number</t>
  </si>
  <si>
    <t>rr_jan_9</t>
  </si>
  <si>
    <t>rr_feb_9</t>
  </si>
  <si>
    <t>rr_mar_9</t>
  </si>
  <si>
    <t>rr_apr_9</t>
  </si>
  <si>
    <t>rr_may_9</t>
  </si>
  <si>
    <t>rr_jun_9</t>
  </si>
  <si>
    <t>rr_jul_9</t>
  </si>
  <si>
    <t>rr_aug_9</t>
  </si>
  <si>
    <t>rr_sep_9</t>
  </si>
  <si>
    <t>rr_oct_9</t>
  </si>
  <si>
    <t>rr_nov_9</t>
  </si>
  <si>
    <t>rr_dec_9</t>
  </si>
  <si>
    <t>m_total</t>
  </si>
  <si>
    <t>m_rainday</t>
  </si>
  <si>
    <t>m_wetday</t>
  </si>
  <si>
    <t xml:space="preserve"> </t>
  </si>
  <si>
    <t>stnum</t>
  </si>
  <si>
    <t>stname</t>
  </si>
  <si>
    <t>county</t>
  </si>
  <si>
    <t>funnel_diameter</t>
  </si>
  <si>
    <t>gauge_height_ft</t>
  </si>
  <si>
    <t>gauge_height_inch</t>
  </si>
  <si>
    <t>elevation</t>
  </si>
  <si>
    <t>next_jan_1</t>
  </si>
  <si>
    <t>yr_total</t>
  </si>
  <si>
    <t>yr_rainday</t>
  </si>
  <si>
    <t>yr_wetday</t>
  </si>
  <si>
    <t>observer</t>
  </si>
  <si>
    <t>train_loc</t>
  </si>
  <si>
    <t>countynum</t>
  </si>
  <si>
    <t>river_dist</t>
  </si>
  <si>
    <t>QA month</t>
  </si>
  <si>
    <t>Time of observation</t>
  </si>
  <si>
    <t>na</t>
  </si>
  <si>
    <t>Castlecomer</t>
  </si>
  <si>
    <t>Good quality</t>
  </si>
  <si>
    <t>Kilkenny</t>
  </si>
  <si>
    <t>5inch</t>
  </si>
  <si>
    <t>380ft</t>
  </si>
  <si>
    <t xml:space="preserve">days, in/on a terrace … is 3 feet above level of …. West of it     </t>
  </si>
  <si>
    <t xml:space="preserve">R.H. Prior Wandesforde  </t>
  </si>
  <si>
    <t>multiday</t>
  </si>
  <si>
    <t>no 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</si>
</sst>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0" fillId="33" borderId="0" xfId="0" applyFill="1"/>
    <xf numFmtId="0" fontId="0" fillId="0" borderId="0" xfId="0" applyFill="1" applyAlignment="1">
      <alignment horizontal="right"/>
    </xf>
    <xf numFmtId="0" fontId="0" fillId="0" borderId="0" xfId="0" applyFont="1" applyFill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5"/>
  <sheetViews>
    <sheetView tabSelected="1" topLeftCell="A18" zoomScale="57" zoomScaleNormal="130" workbookViewId="0">
      <selection activeCell="D34" sqref="D34"/>
    </sheetView>
  </sheetViews>
  <sheetFormatPr defaultRowHeight="14.5" x14ac:dyDescent="0.35"/>
  <cols>
    <col min="1" max="1" width="22.7265625" customWidth="1"/>
    <col min="2" max="2" width="14.81640625" style="3" customWidth="1"/>
  </cols>
  <sheetData>
    <row r="1" spans="1:25" x14ac:dyDescent="0.35">
      <c r="A1" s="1" t="s">
        <v>0</v>
      </c>
      <c r="B1" s="3">
        <v>5</v>
      </c>
      <c r="D1" s="1" t="s">
        <v>0</v>
      </c>
      <c r="E1" s="1" t="s">
        <v>13</v>
      </c>
      <c r="F1" s="1" t="s">
        <v>14</v>
      </c>
      <c r="G1" s="1" t="s">
        <v>10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9</v>
      </c>
      <c r="U1" s="1" t="s">
        <v>27</v>
      </c>
      <c r="V1" s="1" t="s">
        <v>28</v>
      </c>
      <c r="W1" s="1" t="s">
        <v>29</v>
      </c>
      <c r="Y1" s="1" t="s">
        <v>46</v>
      </c>
    </row>
    <row r="2" spans="1:25" x14ac:dyDescent="0.35">
      <c r="A2" s="1" t="s">
        <v>1</v>
      </c>
      <c r="B2" s="3">
        <v>4621</v>
      </c>
      <c r="D2">
        <f>($B$1)</f>
        <v>5</v>
      </c>
      <c r="E2">
        <f>($B$2)</f>
        <v>4621</v>
      </c>
      <c r="F2">
        <v>1</v>
      </c>
      <c r="G2">
        <v>1</v>
      </c>
      <c r="I2">
        <v>0.15</v>
      </c>
      <c r="N2">
        <v>0.23</v>
      </c>
      <c r="T2">
        <v>1</v>
      </c>
      <c r="U2">
        <v>4.21</v>
      </c>
      <c r="Y2" s="2">
        <f>SUM(H2:H32)</f>
        <v>4.2099999999999991</v>
      </c>
    </row>
    <row r="3" spans="1:25" x14ac:dyDescent="0.35">
      <c r="A3" s="1" t="s">
        <v>2</v>
      </c>
      <c r="B3" s="3" t="s">
        <v>49</v>
      </c>
      <c r="D3">
        <f t="shared" ref="D3:D32" si="0">($B$1)</f>
        <v>5</v>
      </c>
      <c r="E3">
        <f t="shared" ref="E3:E32" si="1">($B$2)</f>
        <v>4621</v>
      </c>
      <c r="F3">
        <v>2</v>
      </c>
      <c r="G3">
        <v>2</v>
      </c>
      <c r="I3">
        <v>0.34</v>
      </c>
      <c r="K3">
        <v>0.12</v>
      </c>
      <c r="R3">
        <v>0.02</v>
      </c>
      <c r="S3">
        <v>7.0000000000000007E-2</v>
      </c>
      <c r="T3">
        <v>2</v>
      </c>
      <c r="U3">
        <v>3.5</v>
      </c>
      <c r="Y3" s="2">
        <f>SUM(I:I)</f>
        <v>3.5000000000000004</v>
      </c>
    </row>
    <row r="4" spans="1:25" x14ac:dyDescent="0.35">
      <c r="A4" s="1" t="s">
        <v>3</v>
      </c>
      <c r="B4" s="3" t="s">
        <v>48</v>
      </c>
      <c r="D4">
        <f t="shared" si="0"/>
        <v>5</v>
      </c>
      <c r="E4">
        <f t="shared" si="1"/>
        <v>4621</v>
      </c>
      <c r="F4">
        <v>3</v>
      </c>
      <c r="G4">
        <v>3</v>
      </c>
      <c r="H4">
        <v>0.02</v>
      </c>
      <c r="I4">
        <v>0.35</v>
      </c>
      <c r="J4">
        <v>7.0000000000000007E-2</v>
      </c>
      <c r="K4">
        <v>0.03</v>
      </c>
      <c r="P4">
        <v>7.0000000000000007E-2</v>
      </c>
      <c r="R4">
        <v>0.11</v>
      </c>
      <c r="T4">
        <v>3</v>
      </c>
      <c r="U4">
        <v>4.78</v>
      </c>
      <c r="Y4" s="2">
        <f>SUM(J:J)</f>
        <v>4.78</v>
      </c>
    </row>
    <row r="5" spans="1:25" x14ac:dyDescent="0.35">
      <c r="A5" s="1" t="s">
        <v>4</v>
      </c>
      <c r="D5">
        <f t="shared" si="0"/>
        <v>5</v>
      </c>
      <c r="E5">
        <f t="shared" si="1"/>
        <v>4621</v>
      </c>
      <c r="F5">
        <v>4</v>
      </c>
      <c r="G5">
        <v>4</v>
      </c>
      <c r="H5">
        <v>0.03</v>
      </c>
      <c r="I5">
        <v>0.43</v>
      </c>
      <c r="J5">
        <v>0.11</v>
      </c>
      <c r="K5">
        <v>0.09</v>
      </c>
      <c r="M5">
        <v>0.06</v>
      </c>
      <c r="N5">
        <v>0.66</v>
      </c>
      <c r="Q5">
        <v>0.32</v>
      </c>
      <c r="R5">
        <v>0.14000000000000001</v>
      </c>
      <c r="S5">
        <v>0.02</v>
      </c>
      <c r="T5">
        <v>4</v>
      </c>
      <c r="U5">
        <v>2.34</v>
      </c>
      <c r="Y5" s="2">
        <f>SUM(K:K)</f>
        <v>2.34</v>
      </c>
    </row>
    <row r="6" spans="1:25" x14ac:dyDescent="0.35">
      <c r="A6" s="1" t="s">
        <v>5</v>
      </c>
      <c r="D6">
        <f t="shared" si="0"/>
        <v>5</v>
      </c>
      <c r="E6">
        <f t="shared" si="1"/>
        <v>4621</v>
      </c>
      <c r="F6">
        <v>5</v>
      </c>
      <c r="G6">
        <v>5</v>
      </c>
      <c r="H6">
        <v>0.08</v>
      </c>
      <c r="I6">
        <v>0.04</v>
      </c>
      <c r="M6">
        <v>0.03</v>
      </c>
      <c r="N6">
        <v>0.04</v>
      </c>
      <c r="P6">
        <v>0.56000000000000005</v>
      </c>
      <c r="Q6">
        <v>0.03</v>
      </c>
      <c r="S6">
        <v>0.32</v>
      </c>
      <c r="T6">
        <v>5</v>
      </c>
      <c r="U6">
        <v>1.44</v>
      </c>
      <c r="Y6" s="2">
        <f>SUM(L:L)</f>
        <v>1.4400000000000002</v>
      </c>
    </row>
    <row r="7" spans="1:25" x14ac:dyDescent="0.35">
      <c r="A7" s="1" t="s">
        <v>6</v>
      </c>
      <c r="D7">
        <f t="shared" si="0"/>
        <v>5</v>
      </c>
      <c r="E7">
        <f t="shared" si="1"/>
        <v>4621</v>
      </c>
      <c r="F7">
        <v>6</v>
      </c>
      <c r="G7">
        <v>6</v>
      </c>
      <c r="H7">
        <v>0.05</v>
      </c>
      <c r="J7">
        <v>0.06</v>
      </c>
      <c r="M7">
        <v>0.08</v>
      </c>
      <c r="N7">
        <v>0.01</v>
      </c>
      <c r="O7">
        <v>0.55000000000000004</v>
      </c>
      <c r="Q7">
        <v>0.16</v>
      </c>
      <c r="S7">
        <v>0.05</v>
      </c>
      <c r="T7">
        <v>6</v>
      </c>
      <c r="U7">
        <v>4.47</v>
      </c>
      <c r="Y7" s="2">
        <f>SUM(M:M)</f>
        <v>4.4700000000000006</v>
      </c>
    </row>
    <row r="8" spans="1:25" x14ac:dyDescent="0.35">
      <c r="A8" s="1" t="s">
        <v>7</v>
      </c>
      <c r="D8">
        <f t="shared" si="0"/>
        <v>5</v>
      </c>
      <c r="E8">
        <f t="shared" si="1"/>
        <v>4621</v>
      </c>
      <c r="F8">
        <v>7</v>
      </c>
      <c r="G8">
        <v>7</v>
      </c>
      <c r="H8">
        <v>0.09</v>
      </c>
      <c r="J8">
        <v>0.01</v>
      </c>
      <c r="O8">
        <v>0.16</v>
      </c>
      <c r="P8">
        <v>0.28999999999999998</v>
      </c>
      <c r="Q8">
        <v>0.42</v>
      </c>
      <c r="T8">
        <v>7</v>
      </c>
      <c r="U8">
        <v>1.3</v>
      </c>
      <c r="Y8" s="2">
        <f>SUM(N:N)</f>
        <v>1.3</v>
      </c>
    </row>
    <row r="9" spans="1:25" x14ac:dyDescent="0.35">
      <c r="A9" s="1" t="s">
        <v>8</v>
      </c>
      <c r="B9" s="3">
        <v>1928</v>
      </c>
      <c r="D9">
        <f t="shared" si="0"/>
        <v>5</v>
      </c>
      <c r="E9">
        <f t="shared" si="1"/>
        <v>4621</v>
      </c>
      <c r="F9">
        <v>8</v>
      </c>
      <c r="G9">
        <v>8</v>
      </c>
      <c r="H9">
        <v>0.12</v>
      </c>
      <c r="I9">
        <v>7.0000000000000007E-2</v>
      </c>
      <c r="K9">
        <v>0.56000000000000005</v>
      </c>
      <c r="M9">
        <v>0.24</v>
      </c>
      <c r="Q9">
        <v>0.11</v>
      </c>
      <c r="T9">
        <v>8</v>
      </c>
      <c r="U9">
        <v>4.8899999999999997</v>
      </c>
      <c r="Y9" s="2">
        <f>SUM(O:O)</f>
        <v>4.8899999999999997</v>
      </c>
    </row>
    <row r="10" spans="1:25" x14ac:dyDescent="0.35">
      <c r="A10" s="1" t="s">
        <v>9</v>
      </c>
      <c r="B10" s="3">
        <v>1</v>
      </c>
      <c r="D10">
        <f t="shared" si="0"/>
        <v>5</v>
      </c>
      <c r="E10">
        <f t="shared" si="1"/>
        <v>4621</v>
      </c>
      <c r="F10">
        <v>9</v>
      </c>
      <c r="G10">
        <v>9</v>
      </c>
      <c r="H10">
        <v>0.03</v>
      </c>
      <c r="I10">
        <v>0.02</v>
      </c>
      <c r="K10">
        <v>0.36</v>
      </c>
      <c r="M10">
        <v>0.23</v>
      </c>
      <c r="O10">
        <v>0.08</v>
      </c>
      <c r="P10">
        <v>0.03</v>
      </c>
      <c r="Q10">
        <v>7.0000000000000007E-2</v>
      </c>
      <c r="R10">
        <v>0.09</v>
      </c>
      <c r="S10">
        <v>0.86</v>
      </c>
      <c r="T10">
        <v>9</v>
      </c>
      <c r="U10">
        <v>1.54</v>
      </c>
      <c r="Y10" s="2">
        <f>SUM(P:P)</f>
        <v>1.54</v>
      </c>
    </row>
    <row r="11" spans="1:25" x14ac:dyDescent="0.35">
      <c r="A11" s="1" t="s">
        <v>10</v>
      </c>
      <c r="B11" s="3">
        <v>1</v>
      </c>
      <c r="D11">
        <f t="shared" si="0"/>
        <v>5</v>
      </c>
      <c r="E11">
        <f t="shared" si="1"/>
        <v>4621</v>
      </c>
      <c r="F11">
        <v>10</v>
      </c>
      <c r="G11">
        <v>10</v>
      </c>
      <c r="H11">
        <v>0.05</v>
      </c>
      <c r="I11">
        <v>0.39</v>
      </c>
      <c r="K11">
        <v>0.06</v>
      </c>
      <c r="O11">
        <v>0.06</v>
      </c>
      <c r="P11">
        <v>0.02</v>
      </c>
      <c r="Q11">
        <v>0.6</v>
      </c>
      <c r="R11">
        <v>0.25</v>
      </c>
      <c r="S11">
        <v>0.04</v>
      </c>
      <c r="T11">
        <v>10</v>
      </c>
      <c r="U11">
        <v>5.15</v>
      </c>
      <c r="Y11" s="2">
        <f>SUM(Q:Q)</f>
        <v>5.1499999999999995</v>
      </c>
    </row>
    <row r="12" spans="1:25" x14ac:dyDescent="0.35">
      <c r="A12" s="1" t="s">
        <v>11</v>
      </c>
      <c r="B12" s="3" t="s">
        <v>48</v>
      </c>
      <c r="D12">
        <f t="shared" si="0"/>
        <v>5</v>
      </c>
      <c r="E12">
        <f t="shared" si="1"/>
        <v>4621</v>
      </c>
      <c r="F12">
        <v>11</v>
      </c>
      <c r="G12">
        <v>11</v>
      </c>
      <c r="H12">
        <v>0.18</v>
      </c>
      <c r="I12">
        <v>0.04</v>
      </c>
      <c r="M12">
        <v>0.05</v>
      </c>
      <c r="N12">
        <v>0.05</v>
      </c>
      <c r="O12">
        <v>0.09</v>
      </c>
      <c r="Q12">
        <v>0.13</v>
      </c>
      <c r="R12">
        <v>0.15</v>
      </c>
      <c r="S12">
        <v>0.09</v>
      </c>
      <c r="T12">
        <v>11</v>
      </c>
      <c r="U12">
        <v>3.98</v>
      </c>
      <c r="Y12" s="2">
        <f>SUM(R:R)</f>
        <v>3.98</v>
      </c>
    </row>
    <row r="13" spans="1:25" x14ac:dyDescent="0.35">
      <c r="A13" s="1" t="s">
        <v>12</v>
      </c>
      <c r="B13" s="3" t="s">
        <v>50</v>
      </c>
      <c r="D13">
        <f t="shared" si="0"/>
        <v>5</v>
      </c>
      <c r="E13">
        <f t="shared" si="1"/>
        <v>4621</v>
      </c>
      <c r="F13">
        <v>12</v>
      </c>
      <c r="G13">
        <v>12</v>
      </c>
      <c r="H13">
        <v>0.2</v>
      </c>
      <c r="I13">
        <v>0.53</v>
      </c>
      <c r="M13">
        <v>0.8</v>
      </c>
      <c r="O13">
        <v>0.43</v>
      </c>
      <c r="R13">
        <v>7.0000000000000007E-2</v>
      </c>
      <c r="S13">
        <v>0.01</v>
      </c>
      <c r="T13">
        <v>12</v>
      </c>
      <c r="U13">
        <v>4.3899999999999997</v>
      </c>
      <c r="Y13" s="2">
        <f>SUM(S:S)</f>
        <v>4.3900000000000006</v>
      </c>
    </row>
    <row r="14" spans="1:25" x14ac:dyDescent="0.35">
      <c r="D14">
        <f t="shared" si="0"/>
        <v>5</v>
      </c>
      <c r="E14">
        <f t="shared" si="1"/>
        <v>4621</v>
      </c>
      <c r="F14">
        <v>13</v>
      </c>
      <c r="G14">
        <v>13</v>
      </c>
      <c r="H14">
        <v>0.1</v>
      </c>
      <c r="K14">
        <v>0.34</v>
      </c>
      <c r="M14">
        <v>0.12</v>
      </c>
      <c r="O14">
        <v>0.3</v>
      </c>
      <c r="Q14">
        <v>0.3</v>
      </c>
      <c r="S14">
        <v>0.22</v>
      </c>
      <c r="T14" t="s">
        <v>30</v>
      </c>
      <c r="U14" t="s">
        <v>30</v>
      </c>
      <c r="V14" t="s">
        <v>30</v>
      </c>
      <c r="W14" t="s">
        <v>30</v>
      </c>
    </row>
    <row r="15" spans="1:25" s="1" customFormat="1" x14ac:dyDescent="0.35">
      <c r="A15" s="1" t="s">
        <v>0</v>
      </c>
      <c r="B15" s="4">
        <v>5</v>
      </c>
      <c r="D15">
        <f t="shared" si="0"/>
        <v>5</v>
      </c>
      <c r="E15">
        <f t="shared" si="1"/>
        <v>4621</v>
      </c>
      <c r="F15">
        <v>14</v>
      </c>
      <c r="G15">
        <v>14</v>
      </c>
      <c r="H15">
        <v>0.08</v>
      </c>
      <c r="I15">
        <v>0.24</v>
      </c>
      <c r="J15" t="s">
        <v>56</v>
      </c>
      <c r="K15"/>
      <c r="L15"/>
      <c r="M15">
        <v>0.11</v>
      </c>
      <c r="N15"/>
      <c r="O15">
        <v>0.28999999999999998</v>
      </c>
      <c r="P15">
        <v>0.06</v>
      </c>
      <c r="Q15">
        <v>0.03</v>
      </c>
      <c r="R15">
        <v>0.46</v>
      </c>
      <c r="S15">
        <v>0.04</v>
      </c>
      <c r="T15" t="s">
        <v>30</v>
      </c>
      <c r="U15" t="s">
        <v>30</v>
      </c>
      <c r="V15" t="s">
        <v>30</v>
      </c>
      <c r="W15" t="s">
        <v>30</v>
      </c>
    </row>
    <row r="16" spans="1:25" x14ac:dyDescent="0.35">
      <c r="A16" s="1" t="s">
        <v>13</v>
      </c>
      <c r="B16" s="3">
        <v>4621</v>
      </c>
      <c r="D16">
        <f t="shared" si="0"/>
        <v>5</v>
      </c>
      <c r="E16">
        <f t="shared" si="1"/>
        <v>4621</v>
      </c>
      <c r="F16">
        <v>15</v>
      </c>
      <c r="G16">
        <v>15</v>
      </c>
      <c r="H16">
        <v>0.13</v>
      </c>
      <c r="I16">
        <v>0.25</v>
      </c>
      <c r="J16">
        <v>0.53</v>
      </c>
      <c r="M16">
        <v>0.36</v>
      </c>
      <c r="O16">
        <v>0.08</v>
      </c>
      <c r="Q16">
        <v>0.16</v>
      </c>
      <c r="R16">
        <v>0.37</v>
      </c>
      <c r="S16">
        <v>1.36</v>
      </c>
      <c r="T16" t="s">
        <v>30</v>
      </c>
      <c r="U16" t="s">
        <v>30</v>
      </c>
      <c r="V16" t="s">
        <v>30</v>
      </c>
      <c r="W16" t="s">
        <v>30</v>
      </c>
    </row>
    <row r="17" spans="1:23" x14ac:dyDescent="0.35">
      <c r="A17" s="1" t="s">
        <v>14</v>
      </c>
      <c r="B17" s="3">
        <v>1</v>
      </c>
      <c r="D17">
        <f t="shared" si="0"/>
        <v>5</v>
      </c>
      <c r="E17">
        <f t="shared" si="1"/>
        <v>4621</v>
      </c>
      <c r="F17">
        <v>16</v>
      </c>
      <c r="G17">
        <v>16</v>
      </c>
      <c r="H17">
        <v>0.18</v>
      </c>
      <c r="I17">
        <v>0.1</v>
      </c>
      <c r="J17">
        <v>0.3</v>
      </c>
      <c r="K17">
        <v>0.04</v>
      </c>
      <c r="L17">
        <v>0.05</v>
      </c>
      <c r="M17">
        <v>0.01</v>
      </c>
      <c r="P17">
        <v>0.15</v>
      </c>
      <c r="Q17">
        <v>0.08</v>
      </c>
      <c r="R17">
        <v>0.09</v>
      </c>
      <c r="T17" t="s">
        <v>30</v>
      </c>
      <c r="U17" t="s">
        <v>30</v>
      </c>
      <c r="V17" t="s">
        <v>30</v>
      </c>
      <c r="W17" t="s">
        <v>30</v>
      </c>
    </row>
    <row r="18" spans="1:23" x14ac:dyDescent="0.35">
      <c r="A18" s="1" t="s">
        <v>31</v>
      </c>
      <c r="B18" s="3" t="s">
        <v>48</v>
      </c>
      <c r="D18">
        <f t="shared" si="0"/>
        <v>5</v>
      </c>
      <c r="E18">
        <f t="shared" si="1"/>
        <v>4621</v>
      </c>
      <c r="F18">
        <v>17</v>
      </c>
      <c r="G18">
        <v>17</v>
      </c>
      <c r="I18">
        <v>0.02</v>
      </c>
      <c r="J18">
        <v>0.6</v>
      </c>
      <c r="L18">
        <v>0.47</v>
      </c>
      <c r="M18">
        <v>0.08</v>
      </c>
      <c r="P18">
        <v>0.15</v>
      </c>
      <c r="Q18">
        <v>0.15</v>
      </c>
      <c r="R18">
        <v>7.0000000000000007E-2</v>
      </c>
      <c r="S18">
        <v>0.04</v>
      </c>
      <c r="T18" t="s">
        <v>30</v>
      </c>
      <c r="U18" t="s">
        <v>30</v>
      </c>
      <c r="V18" t="s">
        <v>30</v>
      </c>
      <c r="W18" t="s">
        <v>30</v>
      </c>
    </row>
    <row r="19" spans="1:23" x14ac:dyDescent="0.35">
      <c r="A19" s="1" t="s">
        <v>8</v>
      </c>
      <c r="B19" s="3">
        <v>1928</v>
      </c>
      <c r="D19">
        <f t="shared" si="0"/>
        <v>5</v>
      </c>
      <c r="E19">
        <f t="shared" si="1"/>
        <v>4621</v>
      </c>
      <c r="F19">
        <v>18</v>
      </c>
      <c r="G19">
        <v>18</v>
      </c>
      <c r="H19">
        <v>0.35</v>
      </c>
      <c r="J19">
        <v>0.34</v>
      </c>
      <c r="K19">
        <v>0.03</v>
      </c>
      <c r="L19">
        <v>0.02</v>
      </c>
      <c r="M19">
        <v>0.14000000000000001</v>
      </c>
      <c r="O19">
        <v>0.43</v>
      </c>
      <c r="Q19">
        <v>0.71</v>
      </c>
      <c r="R19">
        <v>0.22</v>
      </c>
      <c r="S19">
        <v>0.09</v>
      </c>
      <c r="T19" t="s">
        <v>30</v>
      </c>
      <c r="U19" t="s">
        <v>30</v>
      </c>
      <c r="V19" t="s">
        <v>30</v>
      </c>
      <c r="W19" t="s">
        <v>30</v>
      </c>
    </row>
    <row r="20" spans="1:23" x14ac:dyDescent="0.35">
      <c r="A20" s="1" t="s">
        <v>32</v>
      </c>
      <c r="B20" s="3" t="s">
        <v>49</v>
      </c>
      <c r="D20">
        <f t="shared" si="0"/>
        <v>5</v>
      </c>
      <c r="E20">
        <f t="shared" si="1"/>
        <v>4621</v>
      </c>
      <c r="F20">
        <v>19</v>
      </c>
      <c r="G20">
        <v>19</v>
      </c>
      <c r="H20">
        <v>0.17</v>
      </c>
      <c r="J20">
        <v>1.03</v>
      </c>
      <c r="L20">
        <v>0.05</v>
      </c>
      <c r="M20">
        <v>0.19</v>
      </c>
      <c r="O20">
        <v>0.64</v>
      </c>
      <c r="Q20">
        <v>0.44</v>
      </c>
      <c r="R20">
        <v>0.35</v>
      </c>
      <c r="S20">
        <v>0.23</v>
      </c>
      <c r="T20" t="s">
        <v>30</v>
      </c>
      <c r="U20" t="s">
        <v>30</v>
      </c>
      <c r="V20" t="s">
        <v>30</v>
      </c>
      <c r="W20" t="s">
        <v>30</v>
      </c>
    </row>
    <row r="21" spans="1:23" x14ac:dyDescent="0.35">
      <c r="A21" s="1" t="s">
        <v>33</v>
      </c>
      <c r="B21" s="3" t="s">
        <v>51</v>
      </c>
      <c r="D21">
        <f t="shared" si="0"/>
        <v>5</v>
      </c>
      <c r="E21">
        <f t="shared" si="1"/>
        <v>4621</v>
      </c>
      <c r="F21">
        <v>20</v>
      </c>
      <c r="G21">
        <v>20</v>
      </c>
      <c r="H21">
        <v>0.34</v>
      </c>
      <c r="J21">
        <v>0.49</v>
      </c>
      <c r="L21">
        <v>0.1</v>
      </c>
      <c r="M21">
        <v>0.39</v>
      </c>
      <c r="O21">
        <v>0.04</v>
      </c>
      <c r="Q21">
        <v>0.03</v>
      </c>
      <c r="R21">
        <v>0.28000000000000003</v>
      </c>
      <c r="S21">
        <v>0.08</v>
      </c>
      <c r="T21" t="s">
        <v>30</v>
      </c>
      <c r="U21" t="s">
        <v>30</v>
      </c>
      <c r="V21" t="s">
        <v>30</v>
      </c>
      <c r="W21" t="s">
        <v>30</v>
      </c>
    </row>
    <row r="22" spans="1:23" x14ac:dyDescent="0.35">
      <c r="A22" s="1" t="s">
        <v>34</v>
      </c>
      <c r="B22" s="3" t="s">
        <v>52</v>
      </c>
      <c r="D22">
        <f t="shared" si="0"/>
        <v>5</v>
      </c>
      <c r="E22">
        <f t="shared" si="1"/>
        <v>4621</v>
      </c>
      <c r="F22">
        <v>21</v>
      </c>
      <c r="G22">
        <v>21</v>
      </c>
      <c r="H22">
        <v>0.24</v>
      </c>
      <c r="I22">
        <v>7.0000000000000007E-2</v>
      </c>
      <c r="J22">
        <v>0.03</v>
      </c>
      <c r="M22">
        <v>0.02</v>
      </c>
      <c r="N22">
        <v>0.02</v>
      </c>
      <c r="O22">
        <v>0.22</v>
      </c>
      <c r="R22">
        <v>0.28999999999999998</v>
      </c>
      <c r="S22">
        <v>0.02</v>
      </c>
      <c r="T22" t="s">
        <v>30</v>
      </c>
      <c r="U22" t="s">
        <v>30</v>
      </c>
      <c r="V22" t="s">
        <v>30</v>
      </c>
      <c r="W22" t="s">
        <v>30</v>
      </c>
    </row>
    <row r="23" spans="1:23" x14ac:dyDescent="0.35">
      <c r="A23" s="1" t="s">
        <v>35</v>
      </c>
      <c r="B23" s="3">
        <v>1</v>
      </c>
      <c r="D23">
        <f t="shared" si="0"/>
        <v>5</v>
      </c>
      <c r="E23">
        <f t="shared" si="1"/>
        <v>4621</v>
      </c>
      <c r="F23">
        <v>22</v>
      </c>
      <c r="G23">
        <v>22</v>
      </c>
      <c r="H23">
        <v>0.15</v>
      </c>
      <c r="J23">
        <v>0.16</v>
      </c>
      <c r="K23">
        <v>0.42</v>
      </c>
      <c r="M23">
        <v>0.09</v>
      </c>
      <c r="O23">
        <v>0.34</v>
      </c>
      <c r="Q23">
        <v>0.02</v>
      </c>
      <c r="R23">
        <v>0.56999999999999995</v>
      </c>
      <c r="S23">
        <v>0.04</v>
      </c>
      <c r="T23" t="s">
        <v>30</v>
      </c>
      <c r="U23" t="s">
        <v>30</v>
      </c>
      <c r="V23" t="s">
        <v>30</v>
      </c>
      <c r="W23" t="s">
        <v>30</v>
      </c>
    </row>
    <row r="24" spans="1:23" x14ac:dyDescent="0.35">
      <c r="A24" s="1" t="s">
        <v>36</v>
      </c>
      <c r="B24" s="3">
        <v>0</v>
      </c>
      <c r="D24">
        <f t="shared" si="0"/>
        <v>5</v>
      </c>
      <c r="E24">
        <f t="shared" si="1"/>
        <v>4621</v>
      </c>
      <c r="F24">
        <v>23</v>
      </c>
      <c r="G24">
        <v>23</v>
      </c>
      <c r="H24">
        <v>0.28000000000000003</v>
      </c>
      <c r="J24">
        <v>0.02</v>
      </c>
      <c r="K24">
        <v>0.02</v>
      </c>
      <c r="L24">
        <v>0.13</v>
      </c>
      <c r="M24">
        <v>0.05</v>
      </c>
      <c r="O24">
        <v>0.18</v>
      </c>
      <c r="Q24">
        <v>0.12</v>
      </c>
      <c r="R24">
        <v>0.23</v>
      </c>
      <c r="S24">
        <v>0.04</v>
      </c>
      <c r="T24" t="s">
        <v>30</v>
      </c>
      <c r="U24" t="s">
        <v>30</v>
      </c>
      <c r="V24" t="s">
        <v>30</v>
      </c>
      <c r="W24" t="s">
        <v>30</v>
      </c>
    </row>
    <row r="25" spans="1:23" x14ac:dyDescent="0.35">
      <c r="A25" s="1" t="s">
        <v>37</v>
      </c>
      <c r="B25" s="3" t="s">
        <v>53</v>
      </c>
      <c r="D25">
        <f t="shared" si="0"/>
        <v>5</v>
      </c>
      <c r="E25">
        <f t="shared" si="1"/>
        <v>4621</v>
      </c>
      <c r="F25">
        <v>24</v>
      </c>
      <c r="G25">
        <v>24</v>
      </c>
      <c r="H25">
        <v>0.22</v>
      </c>
      <c r="K25">
        <v>7.0000000000000007E-2</v>
      </c>
      <c r="M25">
        <v>0.34</v>
      </c>
      <c r="N25">
        <v>0.02</v>
      </c>
      <c r="O25">
        <v>0.04</v>
      </c>
      <c r="P25">
        <v>0.02</v>
      </c>
      <c r="Q25">
        <v>0.09</v>
      </c>
      <c r="R25">
        <v>0.08</v>
      </c>
      <c r="S25">
        <v>0.14000000000000001</v>
      </c>
      <c r="T25" t="s">
        <v>30</v>
      </c>
      <c r="U25" t="s">
        <v>30</v>
      </c>
      <c r="V25" t="s">
        <v>30</v>
      </c>
      <c r="W25" t="s">
        <v>30</v>
      </c>
    </row>
    <row r="26" spans="1:23" x14ac:dyDescent="0.35">
      <c r="A26" s="1" t="s">
        <v>38</v>
      </c>
      <c r="B26" s="3" t="s">
        <v>30</v>
      </c>
      <c r="D26">
        <f t="shared" si="0"/>
        <v>5</v>
      </c>
      <c r="E26">
        <f t="shared" si="1"/>
        <v>4621</v>
      </c>
      <c r="F26">
        <v>25</v>
      </c>
      <c r="G26">
        <v>25</v>
      </c>
      <c r="H26">
        <v>0.36</v>
      </c>
      <c r="K26">
        <v>0.05</v>
      </c>
      <c r="L26">
        <v>0.14000000000000001</v>
      </c>
      <c r="M26">
        <v>0.37</v>
      </c>
      <c r="N26">
        <v>0.02</v>
      </c>
      <c r="O26">
        <v>0.12</v>
      </c>
      <c r="Q26">
        <v>0.51</v>
      </c>
      <c r="R26">
        <v>0.01</v>
      </c>
      <c r="S26">
        <v>0.17</v>
      </c>
      <c r="T26" t="s">
        <v>30</v>
      </c>
      <c r="U26" t="s">
        <v>30</v>
      </c>
      <c r="V26" t="s">
        <v>30</v>
      </c>
      <c r="W26" t="s">
        <v>30</v>
      </c>
    </row>
    <row r="27" spans="1:23" x14ac:dyDescent="0.35">
      <c r="A27" s="1" t="s">
        <v>12</v>
      </c>
      <c r="B27" s="3" t="s">
        <v>54</v>
      </c>
      <c r="D27">
        <f t="shared" si="0"/>
        <v>5</v>
      </c>
      <c r="E27">
        <f t="shared" si="1"/>
        <v>4621</v>
      </c>
      <c r="F27">
        <v>26</v>
      </c>
      <c r="G27">
        <v>26</v>
      </c>
      <c r="H27">
        <v>0.03</v>
      </c>
      <c r="K27">
        <v>0.14000000000000001</v>
      </c>
      <c r="L27">
        <v>0.15</v>
      </c>
      <c r="M27">
        <v>7.0000000000000007E-2</v>
      </c>
      <c r="N27">
        <v>0.06</v>
      </c>
      <c r="O27">
        <v>0.59</v>
      </c>
      <c r="Q27">
        <v>0.28999999999999998</v>
      </c>
      <c r="R27">
        <v>0.03</v>
      </c>
      <c r="T27" t="s">
        <v>30</v>
      </c>
      <c r="U27" t="s">
        <v>30</v>
      </c>
      <c r="V27" t="s">
        <v>30</v>
      </c>
      <c r="W27" t="s">
        <v>30</v>
      </c>
    </row>
    <row r="28" spans="1:23" x14ac:dyDescent="0.35">
      <c r="A28" s="1" t="s">
        <v>39</v>
      </c>
      <c r="B28" s="3">
        <v>41.99</v>
      </c>
      <c r="D28">
        <f t="shared" si="0"/>
        <v>5</v>
      </c>
      <c r="E28">
        <f t="shared" si="1"/>
        <v>4621</v>
      </c>
      <c r="F28">
        <v>27</v>
      </c>
      <c r="G28">
        <v>27</v>
      </c>
      <c r="H28">
        <v>0.38</v>
      </c>
      <c r="J28">
        <v>0.03</v>
      </c>
      <c r="K28">
        <v>0.01</v>
      </c>
      <c r="L28">
        <v>0.33</v>
      </c>
      <c r="M28">
        <v>0.12</v>
      </c>
      <c r="N28">
        <v>0.12</v>
      </c>
      <c r="S28">
        <v>0.14000000000000001</v>
      </c>
      <c r="T28" t="s">
        <v>30</v>
      </c>
      <c r="U28" t="s">
        <v>30</v>
      </c>
      <c r="V28" t="s">
        <v>30</v>
      </c>
      <c r="W28" t="s">
        <v>30</v>
      </c>
    </row>
    <row r="29" spans="1:23" x14ac:dyDescent="0.35">
      <c r="A29" s="1" t="s">
        <v>40</v>
      </c>
      <c r="B29" s="3">
        <v>227</v>
      </c>
      <c r="D29">
        <f t="shared" si="0"/>
        <v>5</v>
      </c>
      <c r="E29">
        <f t="shared" si="1"/>
        <v>4621</v>
      </c>
      <c r="F29">
        <v>28</v>
      </c>
      <c r="G29">
        <v>28</v>
      </c>
      <c r="H29">
        <v>0.02</v>
      </c>
      <c r="I29">
        <v>0.34</v>
      </c>
      <c r="J29">
        <v>0.55000000000000004</v>
      </c>
      <c r="L29" t="s">
        <v>57</v>
      </c>
      <c r="M29">
        <v>0.32</v>
      </c>
      <c r="O29">
        <v>0.01</v>
      </c>
      <c r="P29">
        <v>0.19</v>
      </c>
      <c r="Q29">
        <v>0.17</v>
      </c>
      <c r="R29">
        <v>7.0000000000000007E-2</v>
      </c>
      <c r="S29">
        <v>0.15</v>
      </c>
      <c r="T29" t="s">
        <v>30</v>
      </c>
      <c r="U29" t="s">
        <v>30</v>
      </c>
      <c r="V29" t="s">
        <v>30</v>
      </c>
      <c r="W29" t="s">
        <v>30</v>
      </c>
    </row>
    <row r="30" spans="1:23" x14ac:dyDescent="0.35">
      <c r="A30" s="1" t="s">
        <v>41</v>
      </c>
      <c r="B30" s="3">
        <v>183</v>
      </c>
      <c r="D30">
        <f t="shared" si="0"/>
        <v>5</v>
      </c>
      <c r="E30">
        <f t="shared" si="1"/>
        <v>4621</v>
      </c>
      <c r="F30">
        <v>29</v>
      </c>
      <c r="G30">
        <v>29</v>
      </c>
      <c r="H30">
        <v>0.02</v>
      </c>
      <c r="I30">
        <v>0.12</v>
      </c>
      <c r="J30">
        <v>0.19</v>
      </c>
      <c r="L30" t="s">
        <v>57</v>
      </c>
      <c r="M30">
        <v>0.09</v>
      </c>
      <c r="N30">
        <v>0.03</v>
      </c>
      <c r="O30">
        <v>0.22</v>
      </c>
      <c r="Q30">
        <v>0.1</v>
      </c>
      <c r="R30">
        <v>0.01</v>
      </c>
      <c r="S30">
        <v>0.04</v>
      </c>
      <c r="T30" t="s">
        <v>30</v>
      </c>
      <c r="U30" t="s">
        <v>30</v>
      </c>
      <c r="V30" t="s">
        <v>30</v>
      </c>
      <c r="W30" t="s">
        <v>30</v>
      </c>
    </row>
    <row r="31" spans="1:23" x14ac:dyDescent="0.35">
      <c r="A31" s="1" t="s">
        <v>42</v>
      </c>
      <c r="B31" s="3" t="s">
        <v>55</v>
      </c>
      <c r="D31">
        <f t="shared" si="0"/>
        <v>5</v>
      </c>
      <c r="E31">
        <f t="shared" si="1"/>
        <v>4621</v>
      </c>
      <c r="F31">
        <v>30</v>
      </c>
      <c r="G31">
        <v>30</v>
      </c>
      <c r="H31">
        <v>7.0000000000000007E-2</v>
      </c>
      <c r="J31">
        <v>0.26</v>
      </c>
      <c r="L31" t="s">
        <v>57</v>
      </c>
      <c r="M31">
        <v>0.11</v>
      </c>
      <c r="N31">
        <v>0.03</v>
      </c>
      <c r="O31">
        <v>0.02</v>
      </c>
      <c r="Q31">
        <v>0.11</v>
      </c>
      <c r="R31">
        <v>0.02</v>
      </c>
      <c r="S31">
        <v>0.13</v>
      </c>
      <c r="T31" t="s">
        <v>30</v>
      </c>
      <c r="U31" t="s">
        <v>30</v>
      </c>
      <c r="V31" t="s">
        <v>30</v>
      </c>
      <c r="W31" t="s">
        <v>30</v>
      </c>
    </row>
    <row r="32" spans="1:23" x14ac:dyDescent="0.35">
      <c r="A32" s="1" t="s">
        <v>43</v>
      </c>
      <c r="B32" s="3" t="s">
        <v>30</v>
      </c>
      <c r="D32">
        <f t="shared" si="0"/>
        <v>5</v>
      </c>
      <c r="E32">
        <f t="shared" si="1"/>
        <v>4621</v>
      </c>
      <c r="F32">
        <v>31</v>
      </c>
      <c r="G32">
        <v>31</v>
      </c>
      <c r="H32">
        <v>0.24</v>
      </c>
      <c r="L32" t="s">
        <v>57</v>
      </c>
      <c r="N32">
        <v>0.01</v>
      </c>
      <c r="T32" t="s">
        <v>30</v>
      </c>
      <c r="U32" t="s">
        <v>30</v>
      </c>
      <c r="V32" t="s">
        <v>30</v>
      </c>
      <c r="W32" t="s">
        <v>30</v>
      </c>
    </row>
    <row r="33" spans="1:2" x14ac:dyDescent="0.35">
      <c r="A33" s="1" t="s">
        <v>44</v>
      </c>
      <c r="B33" s="3" t="s">
        <v>30</v>
      </c>
    </row>
    <row r="34" spans="1:2" x14ac:dyDescent="0.35">
      <c r="A34" s="1" t="s">
        <v>45</v>
      </c>
      <c r="B34" s="3" t="s">
        <v>30</v>
      </c>
    </row>
    <row r="35" spans="1:2" x14ac:dyDescent="0.35">
      <c r="A35" s="1" t="s">
        <v>47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5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Conor Murphy</dc:creator>
  <cp:lastModifiedBy>Marta Sartori</cp:lastModifiedBy>
  <cp:lastPrinted>2018-03-21T22:29:05Z</cp:lastPrinted>
  <dcterms:created xsi:type="dcterms:W3CDTF">2016-09-30T11:06:39Z</dcterms:created>
  <dcterms:modified xsi:type="dcterms:W3CDTF">2018-03-21T22:37:34Z</dcterms:modified>
</cp:coreProperties>
</file>