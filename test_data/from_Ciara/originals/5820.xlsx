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<sst xmlns="http://schemas.openxmlformats.org/spreadsheetml/2006/main" count="66" uniqueCount="57">
  <si>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</si>
  <si>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</si>
  <si>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</si>
  <si>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</si>
  <si>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</si>
  <si>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</si>
  <si>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</si>
  <si>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</si>
  <si>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</si>
  <si>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</si>
  <si>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</si>
  <si>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</si>
  <si>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</si>
  <si>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</si>
  <si>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</si>
  <si>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</si>
  <si>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</si>
  <si>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</si>
  <si>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</si>
  <si>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</si>
  <si>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</si>
  <si>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</si>
  <si>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</si>
  <si>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</si>
  <si>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</si>
  <si>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</si>
  <si>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</si>
  <si>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</si>
  <si>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</si>
  <si>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</si>
  <si>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</si>
  <si>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</si>
  <si>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image_nu</t>
  </si>
  <si>
    <t>row_num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</si>
  <si>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</si>
  <si>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</si>
  <si>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</si>
  <si>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</si>
  <si>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</si>
  <si>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</si>
  <si>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</si>
  <si>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</si>
  <si>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</si>
  <si>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</si>
  <si>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</si>
  <si>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</si>
  <si>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</si>
  <si>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</t>
  </si>
  <si>
    <t>m_wetday</t>
  </si>
  <si>
    <t>QA month</t>
  </si>
  <si>
    <t>na</t>
  </si>
  <si>
    <t>Mayfield Portlaw</t>
  </si>
  <si>
    <t>Waterford</t>
  </si>
  <si>
    <t>John Anderson</t>
  </si>
  <si>
    <t>9am</t>
  </si>
  <si>
    <t>Good quility, but I cannot unerstand the handwritting in the space "Diameter" and "Height of top above Grond"</t>
  </si>
  <si>
    <t xml:space="preserve">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</si>
</sst>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1" fillId="2" borderId="0" xfId="0" applyFont="1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topLeftCell="E1" workbookViewId="0">
      <selection activeCell="Y5" sqref="Y5"/>
    </sheetView>
  </sheetViews>
  <sheetFormatPr defaultRowHeight="15" x14ac:dyDescent="0.25"/>
  <cols>
    <col min="1" max="1" width="14.28515625" customWidth="1"/>
    <col min="2" max="2" width="77.42578125" customWidth="1"/>
  </cols>
  <sheetData>
    <row r="1" spans="1:25" x14ac:dyDescent="0.25">
      <c r="A1" s="1" t="s">
        <v>0</v>
      </c>
      <c r="B1" s="2">
        <v>7</v>
      </c>
      <c r="C1" s="3"/>
      <c r="D1" s="1" t="s">
        <v>0</v>
      </c>
      <c r="E1" s="1" t="s">
        <v>32</v>
      </c>
      <c r="F1" s="1" t="s">
        <v>33</v>
      </c>
      <c r="G1" s="1" t="s">
        <v>10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9</v>
      </c>
      <c r="U1" s="1" t="s">
        <v>46</v>
      </c>
      <c r="V1" s="1" t="s">
        <v>47</v>
      </c>
      <c r="W1" s="6" t="s">
        <v>48</v>
      </c>
      <c r="X1" s="6"/>
      <c r="Y1" s="4" t="s">
        <v>49</v>
      </c>
    </row>
    <row r="2" spans="1:25" x14ac:dyDescent="0.25">
      <c r="A2" s="1" t="s">
        <v>1</v>
      </c>
      <c r="B2">
        <v>6820</v>
      </c>
      <c r="D2">
        <v>7</v>
      </c>
      <c r="E2">
        <v>6820</v>
      </c>
      <c r="F2">
        <v>1</v>
      </c>
      <c r="G2" s="5">
        <v>1</v>
      </c>
      <c r="H2">
        <v>0.06</v>
      </c>
      <c r="I2">
        <v>0.6</v>
      </c>
      <c r="J2">
        <v>0.72</v>
      </c>
      <c r="L2">
        <v>0.04</v>
      </c>
      <c r="P2">
        <v>1.3</v>
      </c>
      <c r="T2">
        <v>1</v>
      </c>
      <c r="U2">
        <v>4.8</v>
      </c>
      <c r="Y2">
        <f>SUM(H:H)</f>
        <v>4.8</v>
      </c>
    </row>
    <row r="3" spans="1:25" x14ac:dyDescent="0.25">
      <c r="A3" s="1" t="s">
        <v>2</v>
      </c>
      <c r="B3" t="s">
        <v>51</v>
      </c>
      <c r="D3">
        <v>7</v>
      </c>
      <c r="E3">
        <v>6820</v>
      </c>
      <c r="F3">
        <v>2</v>
      </c>
      <c r="G3" s="5">
        <v>2</v>
      </c>
      <c r="H3">
        <v>0.81</v>
      </c>
      <c r="I3">
        <v>0.4</v>
      </c>
      <c r="J3">
        <v>0.98</v>
      </c>
      <c r="L3">
        <v>0.1</v>
      </c>
      <c r="P3">
        <v>0.21</v>
      </c>
      <c r="Q3">
        <v>0.33</v>
      </c>
      <c r="R3">
        <v>0.1</v>
      </c>
      <c r="S3">
        <v>0.15</v>
      </c>
      <c r="T3">
        <v>2</v>
      </c>
      <c r="U3">
        <v>7.22</v>
      </c>
      <c r="Y3">
        <f>SUM(I:I)</f>
        <v>7.22</v>
      </c>
    </row>
    <row r="4" spans="1:25" x14ac:dyDescent="0.25">
      <c r="A4" s="1" t="s">
        <v>3</v>
      </c>
      <c r="B4" t="s">
        <v>50</v>
      </c>
      <c r="D4">
        <v>7</v>
      </c>
      <c r="E4">
        <v>6820</v>
      </c>
      <c r="F4">
        <v>3</v>
      </c>
      <c r="G4" s="5">
        <v>3</v>
      </c>
      <c r="H4">
        <v>0.01</v>
      </c>
      <c r="I4">
        <v>0.21</v>
      </c>
      <c r="J4">
        <v>0.14000000000000001</v>
      </c>
      <c r="P4">
        <v>0.13</v>
      </c>
      <c r="Q4">
        <v>0.01</v>
      </c>
      <c r="R4">
        <v>0.1</v>
      </c>
      <c r="S4">
        <v>0.13</v>
      </c>
      <c r="T4">
        <v>3</v>
      </c>
      <c r="U4">
        <v>4.45</v>
      </c>
      <c r="Y4">
        <f>SUM(J:J)</f>
        <v>4.45</v>
      </c>
    </row>
    <row r="5" spans="1:25" x14ac:dyDescent="0.25">
      <c r="A5" s="1" t="s">
        <v>4</v>
      </c>
      <c r="D5">
        <v>7</v>
      </c>
      <c r="E5">
        <v>6820</v>
      </c>
      <c r="F5">
        <v>4</v>
      </c>
      <c r="G5" s="5">
        <v>4</v>
      </c>
      <c r="H5">
        <v>0.21</v>
      </c>
      <c r="I5">
        <v>0.15</v>
      </c>
      <c r="J5">
        <v>7.0000000000000007E-2</v>
      </c>
      <c r="K5">
        <v>0.1</v>
      </c>
      <c r="L5">
        <v>0.05</v>
      </c>
      <c r="M5">
        <v>0.3</v>
      </c>
      <c r="O5">
        <v>0.56999999999999995</v>
      </c>
      <c r="P5">
        <v>0.08</v>
      </c>
      <c r="Q5">
        <v>0.05</v>
      </c>
      <c r="R5">
        <v>0.11</v>
      </c>
      <c r="S5">
        <v>0.22</v>
      </c>
      <c r="T5">
        <v>4</v>
      </c>
      <c r="U5">
        <v>4.9400000000000004</v>
      </c>
      <c r="Y5" s="5">
        <f>SUM(K:K)</f>
        <v>4.9399999999999995</v>
      </c>
    </row>
    <row r="6" spans="1:25" x14ac:dyDescent="0.25">
      <c r="A6" s="1" t="s">
        <v>5</v>
      </c>
      <c r="D6">
        <v>7</v>
      </c>
      <c r="E6">
        <v>6820</v>
      </c>
      <c r="F6">
        <v>5</v>
      </c>
      <c r="G6" s="5">
        <v>5</v>
      </c>
      <c r="I6">
        <v>0.26</v>
      </c>
      <c r="K6">
        <v>0.39</v>
      </c>
      <c r="O6">
        <v>0.25</v>
      </c>
      <c r="P6">
        <v>7.0000000000000007E-2</v>
      </c>
      <c r="Q6">
        <v>0.05</v>
      </c>
      <c r="R6">
        <v>0.08</v>
      </c>
      <c r="S6">
        <v>0.4</v>
      </c>
      <c r="T6">
        <v>5</v>
      </c>
      <c r="U6">
        <v>2.67</v>
      </c>
      <c r="Y6">
        <f>SUM(L:L)</f>
        <v>2.6700000000000004</v>
      </c>
    </row>
    <row r="7" spans="1:25" x14ac:dyDescent="0.25">
      <c r="A7" s="1" t="s">
        <v>6</v>
      </c>
      <c r="D7">
        <v>7</v>
      </c>
      <c r="E7">
        <v>6820</v>
      </c>
      <c r="F7">
        <v>6</v>
      </c>
      <c r="G7" s="5">
        <v>6</v>
      </c>
      <c r="H7">
        <v>0.02</v>
      </c>
      <c r="I7">
        <v>0.23</v>
      </c>
      <c r="K7">
        <v>7.0000000000000007E-2</v>
      </c>
      <c r="L7">
        <v>0.05</v>
      </c>
      <c r="M7">
        <v>0.15</v>
      </c>
      <c r="N7">
        <v>0.53</v>
      </c>
      <c r="O7">
        <v>0.03</v>
      </c>
      <c r="P7">
        <v>0.06</v>
      </c>
      <c r="Q7">
        <v>7.0000000000000007E-2</v>
      </c>
      <c r="R7">
        <v>0.06</v>
      </c>
      <c r="S7">
        <v>0.08</v>
      </c>
      <c r="T7">
        <v>6</v>
      </c>
      <c r="U7">
        <v>1.29</v>
      </c>
      <c r="Y7">
        <f>SUM(M:M)</f>
        <v>1.2899999999999998</v>
      </c>
    </row>
    <row r="8" spans="1:25" x14ac:dyDescent="0.25">
      <c r="A8" s="1" t="s">
        <v>7</v>
      </c>
      <c r="D8">
        <v>7</v>
      </c>
      <c r="E8">
        <v>6820</v>
      </c>
      <c r="F8">
        <v>7</v>
      </c>
      <c r="G8" s="5">
        <v>7</v>
      </c>
      <c r="H8">
        <v>0.31</v>
      </c>
      <c r="I8">
        <v>0.39</v>
      </c>
      <c r="M8">
        <v>0.42</v>
      </c>
      <c r="N8">
        <v>0.25</v>
      </c>
      <c r="O8">
        <v>0.02</v>
      </c>
      <c r="P8">
        <v>0.03</v>
      </c>
      <c r="Q8">
        <v>0.1</v>
      </c>
      <c r="R8">
        <v>0.1</v>
      </c>
      <c r="T8">
        <v>7</v>
      </c>
      <c r="U8">
        <v>1.42</v>
      </c>
      <c r="Y8">
        <f>SUM(N:N)</f>
        <v>1.42</v>
      </c>
    </row>
    <row r="9" spans="1:25" x14ac:dyDescent="0.25">
      <c r="A9" s="1" t="s">
        <v>8</v>
      </c>
      <c r="B9">
        <v>1885</v>
      </c>
      <c r="D9">
        <v>7</v>
      </c>
      <c r="E9">
        <v>6820</v>
      </c>
      <c r="F9">
        <v>8</v>
      </c>
      <c r="G9" s="5">
        <v>8</v>
      </c>
      <c r="H9">
        <v>0.03</v>
      </c>
      <c r="I9">
        <v>0.8</v>
      </c>
      <c r="J9">
        <v>0.03</v>
      </c>
      <c r="L9">
        <v>0.02</v>
      </c>
      <c r="M9">
        <v>0.11</v>
      </c>
      <c r="N9">
        <v>0.02</v>
      </c>
      <c r="O9">
        <v>0.91</v>
      </c>
      <c r="P9">
        <v>0.21</v>
      </c>
      <c r="Q9">
        <v>0.31</v>
      </c>
      <c r="T9">
        <v>8</v>
      </c>
      <c r="U9">
        <v>5.21</v>
      </c>
      <c r="Y9">
        <f>SUM(O:O)</f>
        <v>5.2099999999999991</v>
      </c>
    </row>
    <row r="10" spans="1:25" x14ac:dyDescent="0.25">
      <c r="A10" s="1" t="s">
        <v>9</v>
      </c>
      <c r="B10">
        <v>1</v>
      </c>
      <c r="D10">
        <v>7</v>
      </c>
      <c r="E10">
        <v>6820</v>
      </c>
      <c r="F10">
        <v>9</v>
      </c>
      <c r="G10" s="5">
        <v>9</v>
      </c>
      <c r="H10">
        <v>0.18</v>
      </c>
      <c r="I10">
        <v>0.04</v>
      </c>
      <c r="L10">
        <v>0.02</v>
      </c>
      <c r="O10">
        <v>0.83</v>
      </c>
      <c r="P10">
        <v>0.03</v>
      </c>
      <c r="Q10">
        <v>0.83</v>
      </c>
      <c r="R10">
        <v>0.02</v>
      </c>
      <c r="T10">
        <v>9</v>
      </c>
      <c r="U10">
        <v>5.29</v>
      </c>
      <c r="Y10">
        <f>SUM(P:P)</f>
        <v>5.29</v>
      </c>
    </row>
    <row r="11" spans="1:25" x14ac:dyDescent="0.25">
      <c r="A11" s="1" t="s">
        <v>10</v>
      </c>
      <c r="B11">
        <v>1</v>
      </c>
      <c r="D11">
        <v>7</v>
      </c>
      <c r="E11">
        <v>6820</v>
      </c>
      <c r="F11">
        <v>10</v>
      </c>
      <c r="G11" s="5">
        <v>10</v>
      </c>
      <c r="H11">
        <v>0.14000000000000001</v>
      </c>
      <c r="I11">
        <v>0.05</v>
      </c>
      <c r="L11">
        <v>0.05</v>
      </c>
      <c r="N11">
        <v>0.13</v>
      </c>
      <c r="O11">
        <v>0.05</v>
      </c>
      <c r="R11">
        <v>0.03</v>
      </c>
      <c r="T11">
        <v>10</v>
      </c>
      <c r="U11">
        <v>4.33</v>
      </c>
      <c r="Y11">
        <f>SUM(Q:Q)</f>
        <v>4.33</v>
      </c>
    </row>
    <row r="12" spans="1:25" x14ac:dyDescent="0.25">
      <c r="A12" s="1" t="s">
        <v>11</v>
      </c>
      <c r="B12" t="s">
        <v>50</v>
      </c>
      <c r="D12">
        <v>7</v>
      </c>
      <c r="E12">
        <v>6820</v>
      </c>
      <c r="F12">
        <v>11</v>
      </c>
      <c r="G12" s="5">
        <v>11</v>
      </c>
      <c r="O12">
        <v>0.05</v>
      </c>
      <c r="P12">
        <v>0.44</v>
      </c>
      <c r="T12">
        <v>11</v>
      </c>
      <c r="U12">
        <v>3.01</v>
      </c>
      <c r="Y12">
        <f>SUM(R:R)</f>
        <v>3.0100000000000002</v>
      </c>
    </row>
    <row r="13" spans="1:25" x14ac:dyDescent="0.25">
      <c r="A13" s="1" t="s">
        <v>12</v>
      </c>
      <c r="B13" t="s">
        <v>55</v>
      </c>
      <c r="D13">
        <v>7</v>
      </c>
      <c r="E13">
        <v>6820</v>
      </c>
      <c r="F13">
        <v>12</v>
      </c>
      <c r="G13" s="5">
        <v>12</v>
      </c>
      <c r="N13">
        <v>0.04</v>
      </c>
      <c r="O13">
        <v>0.1</v>
      </c>
      <c r="P13">
        <v>0.16</v>
      </c>
      <c r="S13">
        <v>0.01</v>
      </c>
      <c r="T13">
        <v>12</v>
      </c>
      <c r="U13">
        <v>1.54</v>
      </c>
      <c r="Y13">
        <f>SUM(S:S)</f>
        <v>1.5400000000000003</v>
      </c>
    </row>
    <row r="14" spans="1:25" x14ac:dyDescent="0.25">
      <c r="A14" s="1"/>
      <c r="D14">
        <v>7</v>
      </c>
      <c r="E14">
        <v>6820</v>
      </c>
      <c r="F14">
        <v>13</v>
      </c>
      <c r="G14" s="5">
        <v>13</v>
      </c>
      <c r="L14">
        <v>0.08</v>
      </c>
      <c r="P14">
        <v>0.42</v>
      </c>
      <c r="R14">
        <v>0.04</v>
      </c>
      <c r="S14">
        <v>0.01</v>
      </c>
    </row>
    <row r="15" spans="1:25" x14ac:dyDescent="0.25">
      <c r="A15" s="1" t="s">
        <v>0</v>
      </c>
      <c r="B15">
        <v>7</v>
      </c>
      <c r="D15">
        <v>7</v>
      </c>
      <c r="E15">
        <v>6820</v>
      </c>
      <c r="F15">
        <v>14</v>
      </c>
      <c r="G15" s="5">
        <v>14</v>
      </c>
      <c r="I15">
        <v>0.06</v>
      </c>
      <c r="L15">
        <v>0.14000000000000001</v>
      </c>
      <c r="P15">
        <v>0.38</v>
      </c>
    </row>
    <row r="16" spans="1:25" x14ac:dyDescent="0.25">
      <c r="A16" s="1" t="s">
        <v>13</v>
      </c>
      <c r="B16">
        <v>6820</v>
      </c>
      <c r="D16">
        <v>7</v>
      </c>
      <c r="E16">
        <v>6820</v>
      </c>
      <c r="F16">
        <v>15</v>
      </c>
      <c r="G16" s="5">
        <v>15</v>
      </c>
      <c r="J16">
        <v>0.01</v>
      </c>
      <c r="L16">
        <v>0.01</v>
      </c>
      <c r="P16">
        <v>0.2</v>
      </c>
      <c r="Q16">
        <v>0.06</v>
      </c>
      <c r="S16">
        <v>0.02</v>
      </c>
    </row>
    <row r="17" spans="1:19" x14ac:dyDescent="0.25">
      <c r="A17" s="1" t="s">
        <v>14</v>
      </c>
      <c r="B17">
        <v>1</v>
      </c>
      <c r="D17">
        <v>7</v>
      </c>
      <c r="E17">
        <v>6820</v>
      </c>
      <c r="F17">
        <v>16</v>
      </c>
      <c r="G17" s="5">
        <v>16</v>
      </c>
      <c r="H17">
        <v>0.02</v>
      </c>
      <c r="I17">
        <v>0.25</v>
      </c>
      <c r="L17">
        <v>0.06</v>
      </c>
      <c r="P17">
        <v>7.0000000000000007E-2</v>
      </c>
      <c r="Q17">
        <v>0.1</v>
      </c>
      <c r="S17">
        <v>0.01</v>
      </c>
    </row>
    <row r="18" spans="1:19" x14ac:dyDescent="0.25">
      <c r="A18" s="1" t="s">
        <v>15</v>
      </c>
      <c r="B18" t="s">
        <v>56</v>
      </c>
      <c r="D18">
        <v>7</v>
      </c>
      <c r="E18">
        <v>6820</v>
      </c>
      <c r="F18">
        <v>17</v>
      </c>
      <c r="G18" s="5">
        <v>17</v>
      </c>
      <c r="H18">
        <v>0.01</v>
      </c>
      <c r="J18">
        <v>0.09</v>
      </c>
      <c r="L18">
        <v>0.02</v>
      </c>
      <c r="S18">
        <v>0.05</v>
      </c>
    </row>
    <row r="19" spans="1:19" x14ac:dyDescent="0.25">
      <c r="A19" s="1" t="s">
        <v>8</v>
      </c>
      <c r="B19">
        <v>1885</v>
      </c>
      <c r="D19">
        <v>7</v>
      </c>
      <c r="E19">
        <v>6820</v>
      </c>
      <c r="F19">
        <v>18</v>
      </c>
      <c r="G19" s="5">
        <v>18</v>
      </c>
      <c r="L19">
        <v>0.17</v>
      </c>
      <c r="M19">
        <v>0.05</v>
      </c>
      <c r="N19">
        <v>0.13</v>
      </c>
      <c r="P19">
        <v>0.51</v>
      </c>
      <c r="S19">
        <v>0.05</v>
      </c>
    </row>
    <row r="20" spans="1:19" x14ac:dyDescent="0.25">
      <c r="A20" s="1" t="s">
        <v>16</v>
      </c>
      <c r="B20" t="s">
        <v>51</v>
      </c>
      <c r="D20">
        <v>7</v>
      </c>
      <c r="E20">
        <v>6820</v>
      </c>
      <c r="F20">
        <v>19</v>
      </c>
      <c r="G20" s="5">
        <v>19</v>
      </c>
      <c r="L20">
        <v>0.55000000000000004</v>
      </c>
      <c r="M20">
        <v>0.03</v>
      </c>
      <c r="N20">
        <v>0.15</v>
      </c>
      <c r="R20">
        <v>0.06</v>
      </c>
      <c r="S20">
        <v>0.22</v>
      </c>
    </row>
    <row r="21" spans="1:19" x14ac:dyDescent="0.25">
      <c r="A21" s="1" t="s">
        <v>17</v>
      </c>
      <c r="B21" t="s">
        <v>52</v>
      </c>
      <c r="D21">
        <v>7</v>
      </c>
      <c r="E21">
        <v>6820</v>
      </c>
      <c r="F21">
        <v>20</v>
      </c>
      <c r="G21" s="5">
        <v>20</v>
      </c>
      <c r="K21">
        <v>0.08</v>
      </c>
      <c r="L21">
        <v>0.16</v>
      </c>
      <c r="M21">
        <v>0.01</v>
      </c>
      <c r="N21">
        <v>0.02</v>
      </c>
      <c r="P21">
        <v>0.12</v>
      </c>
      <c r="Q21">
        <v>0.57999999999999996</v>
      </c>
      <c r="R21">
        <v>0.04</v>
      </c>
      <c r="S21">
        <v>0.03</v>
      </c>
    </row>
    <row r="22" spans="1:19" x14ac:dyDescent="0.25">
      <c r="A22" s="1" t="s">
        <v>18</v>
      </c>
      <c r="D22">
        <v>7</v>
      </c>
      <c r="E22">
        <v>6820</v>
      </c>
      <c r="F22">
        <v>21</v>
      </c>
      <c r="G22" s="5">
        <v>21</v>
      </c>
      <c r="I22">
        <v>1.33</v>
      </c>
      <c r="J22">
        <v>0.21</v>
      </c>
      <c r="K22">
        <v>1.57</v>
      </c>
      <c r="L22">
        <v>0.02</v>
      </c>
      <c r="M22">
        <v>0.05</v>
      </c>
      <c r="Q22">
        <v>0.21</v>
      </c>
      <c r="R22">
        <v>0.08</v>
      </c>
    </row>
    <row r="23" spans="1:19" x14ac:dyDescent="0.25">
      <c r="A23" s="1" t="s">
        <v>19</v>
      </c>
      <c r="D23">
        <v>7</v>
      </c>
      <c r="E23">
        <v>6820</v>
      </c>
      <c r="F23">
        <v>22</v>
      </c>
      <c r="G23" s="5">
        <v>22</v>
      </c>
      <c r="H23">
        <v>0.35</v>
      </c>
      <c r="I23">
        <v>0.42</v>
      </c>
      <c r="K23">
        <v>0.15</v>
      </c>
      <c r="L23">
        <v>0.01</v>
      </c>
      <c r="M23">
        <v>0.01</v>
      </c>
      <c r="N23">
        <v>0.15</v>
      </c>
      <c r="O23">
        <v>0.01</v>
      </c>
      <c r="P23">
        <v>0.03</v>
      </c>
    </row>
    <row r="24" spans="1:19" x14ac:dyDescent="0.25">
      <c r="A24" s="1" t="s">
        <v>20</v>
      </c>
      <c r="D24">
        <v>7</v>
      </c>
      <c r="E24">
        <v>6820</v>
      </c>
      <c r="F24">
        <v>23</v>
      </c>
      <c r="G24" s="5">
        <v>23</v>
      </c>
      <c r="H24">
        <v>0.4</v>
      </c>
      <c r="I24">
        <v>0.91</v>
      </c>
      <c r="K24">
        <v>0.51</v>
      </c>
      <c r="L24">
        <v>0.01</v>
      </c>
      <c r="M24">
        <v>0.16</v>
      </c>
      <c r="Q24">
        <v>0.06</v>
      </c>
      <c r="R24">
        <v>0.03</v>
      </c>
    </row>
    <row r="25" spans="1:19" x14ac:dyDescent="0.25">
      <c r="A25" s="1" t="s">
        <v>21</v>
      </c>
      <c r="D25">
        <v>7</v>
      </c>
      <c r="E25">
        <v>6820</v>
      </c>
      <c r="F25">
        <v>24</v>
      </c>
      <c r="G25" s="5">
        <v>24</v>
      </c>
      <c r="H25">
        <v>0.05</v>
      </c>
      <c r="I25">
        <v>0.2</v>
      </c>
      <c r="J25">
        <v>0.25</v>
      </c>
      <c r="K25">
        <v>0.79</v>
      </c>
      <c r="L25">
        <v>0.66</v>
      </c>
      <c r="P25">
        <v>0.08</v>
      </c>
      <c r="R25">
        <v>0.01</v>
      </c>
    </row>
    <row r="26" spans="1:19" x14ac:dyDescent="0.25">
      <c r="A26" s="1" t="s">
        <v>22</v>
      </c>
      <c r="D26">
        <v>7</v>
      </c>
      <c r="E26">
        <v>6820</v>
      </c>
      <c r="F26">
        <v>25</v>
      </c>
      <c r="G26" s="5">
        <v>25</v>
      </c>
      <c r="H26">
        <v>0.84</v>
      </c>
      <c r="I26">
        <v>0.83</v>
      </c>
      <c r="J26">
        <v>0.06</v>
      </c>
      <c r="K26">
        <v>7.0000000000000007E-2</v>
      </c>
      <c r="L26">
        <v>0.02</v>
      </c>
      <c r="Q26">
        <v>0.4</v>
      </c>
      <c r="R26">
        <v>1.1299999999999999</v>
      </c>
    </row>
    <row r="27" spans="1:19" x14ac:dyDescent="0.25">
      <c r="A27" s="1" t="s">
        <v>12</v>
      </c>
      <c r="B27" t="s">
        <v>55</v>
      </c>
      <c r="D27">
        <v>7</v>
      </c>
      <c r="E27">
        <v>6820</v>
      </c>
      <c r="F27">
        <v>26</v>
      </c>
      <c r="G27" s="5">
        <v>26</v>
      </c>
      <c r="H27">
        <v>0.24</v>
      </c>
      <c r="I27">
        <v>7.0000000000000007E-2</v>
      </c>
      <c r="J27">
        <v>0.03</v>
      </c>
      <c r="K27">
        <v>0.22</v>
      </c>
      <c r="L27">
        <v>0.03</v>
      </c>
      <c r="O27">
        <v>1.1499999999999999</v>
      </c>
      <c r="Q27">
        <v>0.12</v>
      </c>
      <c r="R27">
        <v>0.19</v>
      </c>
    </row>
    <row r="28" spans="1:19" x14ac:dyDescent="0.25">
      <c r="A28" s="1" t="s">
        <v>23</v>
      </c>
      <c r="B28">
        <v>46.17</v>
      </c>
      <c r="D28">
        <v>7</v>
      </c>
      <c r="E28">
        <v>6820</v>
      </c>
      <c r="F28">
        <v>27</v>
      </c>
      <c r="G28" s="5">
        <v>27</v>
      </c>
      <c r="H28">
        <v>0.1</v>
      </c>
      <c r="I28">
        <v>0.02</v>
      </c>
      <c r="K28">
        <v>0.66</v>
      </c>
      <c r="L28">
        <v>0.18</v>
      </c>
      <c r="O28">
        <v>0.77</v>
      </c>
      <c r="Q28">
        <v>0.21</v>
      </c>
      <c r="R28">
        <v>0.6</v>
      </c>
      <c r="S28">
        <v>7.0000000000000007E-2</v>
      </c>
    </row>
    <row r="29" spans="1:19" x14ac:dyDescent="0.25">
      <c r="A29" s="1" t="s">
        <v>24</v>
      </c>
      <c r="B29" s="5"/>
      <c r="D29">
        <v>7</v>
      </c>
      <c r="E29">
        <v>6820</v>
      </c>
      <c r="F29">
        <v>28</v>
      </c>
      <c r="G29" s="5">
        <v>28</v>
      </c>
      <c r="H29">
        <v>0.21</v>
      </c>
      <c r="J29">
        <v>1.07</v>
      </c>
      <c r="K29">
        <v>0.02</v>
      </c>
      <c r="L29">
        <v>0.08</v>
      </c>
      <c r="O29">
        <v>0.13</v>
      </c>
      <c r="P29">
        <v>0.13</v>
      </c>
      <c r="R29">
        <v>0.2</v>
      </c>
      <c r="S29">
        <v>0.05</v>
      </c>
    </row>
    <row r="30" spans="1:19" x14ac:dyDescent="0.25">
      <c r="A30" s="1" t="s">
        <v>25</v>
      </c>
      <c r="B30" s="5"/>
      <c r="D30">
        <v>7</v>
      </c>
      <c r="E30">
        <v>6820</v>
      </c>
      <c r="F30">
        <v>29</v>
      </c>
      <c r="G30" s="5">
        <v>29</v>
      </c>
      <c r="H30">
        <v>0.3</v>
      </c>
      <c r="J30">
        <v>0.01</v>
      </c>
      <c r="L30">
        <v>0.14000000000000001</v>
      </c>
      <c r="P30">
        <v>0.57999999999999996</v>
      </c>
      <c r="Q30">
        <v>0.69</v>
      </c>
      <c r="R30">
        <v>0.03</v>
      </c>
      <c r="S30">
        <v>0.04</v>
      </c>
    </row>
    <row r="31" spans="1:19" x14ac:dyDescent="0.25">
      <c r="A31" s="1" t="s">
        <v>26</v>
      </c>
      <c r="B31" t="s">
        <v>53</v>
      </c>
      <c r="D31">
        <v>7</v>
      </c>
      <c r="E31">
        <v>6820</v>
      </c>
      <c r="F31">
        <v>30</v>
      </c>
      <c r="G31" s="5">
        <v>30</v>
      </c>
      <c r="H31">
        <v>0.35</v>
      </c>
      <c r="K31">
        <v>0.31</v>
      </c>
      <c r="O31" s="5">
        <v>0.34</v>
      </c>
      <c r="P31">
        <v>0.05</v>
      </c>
      <c r="Q31">
        <v>0.15</v>
      </c>
    </row>
    <row r="32" spans="1:19" x14ac:dyDescent="0.25">
      <c r="A32" s="1" t="s">
        <v>27</v>
      </c>
      <c r="D32">
        <v>7</v>
      </c>
      <c r="E32">
        <v>6820</v>
      </c>
      <c r="F32">
        <v>31</v>
      </c>
      <c r="G32" s="5">
        <v>31</v>
      </c>
      <c r="H32" s="5">
        <v>0.16</v>
      </c>
      <c r="J32">
        <v>0.78</v>
      </c>
    </row>
    <row r="33" spans="1:2" x14ac:dyDescent="0.25">
      <c r="A33" s="1" t="s">
        <v>28</v>
      </c>
    </row>
    <row r="34" spans="1:2" x14ac:dyDescent="0.25">
      <c r="A34" s="1" t="s">
        <v>29</v>
      </c>
    </row>
    <row r="35" spans="1:2" x14ac:dyDescent="0.25">
      <c r="A35" s="1" t="s">
        <v>30</v>
      </c>
    </row>
    <row r="36" spans="1:2" x14ac:dyDescent="0.25">
      <c r="A36" s="1" t="s">
        <v>31</v>
      </c>
      <c r="B36" t="s">
        <v>54</v>
      </c>
    </row>
  </sheetData>
  <mergeCells count="1">
    <mergeCell ref="W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2018-03-20T14:26:02Z</dcterms:modified>
</cp:coreProperties>
</file>