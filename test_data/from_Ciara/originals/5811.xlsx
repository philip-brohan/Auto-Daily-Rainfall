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819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2" i="1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B18"/>
  <c r="E17"/>
  <c r="D17"/>
  <c r="E16"/>
  <c r="D16"/>
  <c r="E15"/>
  <c r="D15"/>
  <c r="E14"/>
  <c r="D14"/>
  <c r="Y13"/>
  <c r="E13"/>
  <c r="D13"/>
  <c r="Y12"/>
  <c r="E12"/>
  <c r="D12"/>
  <c r="Y11"/>
  <c r="E11"/>
  <c r="D11"/>
  <c r="Y10"/>
  <c r="E10"/>
  <c r="D10"/>
  <c r="Y9"/>
  <c r="E9"/>
  <c r="D9"/>
  <c r="Y8"/>
  <c r="E8"/>
  <c r="D8"/>
  <c r="Y7"/>
  <c r="E7"/>
  <c r="D7"/>
  <c r="Y6"/>
  <c r="E6"/>
  <c r="D6"/>
  <c r="Y5"/>
  <c r="E5"/>
  <c r="D5"/>
  <c r="Y4"/>
  <c r="E4"/>
  <c r="D4"/>
  <c r="Y3"/>
  <c r="E3"/>
  <c r="D3"/>
  <c r="Y2"/>
  <c r="E2"/>
  <c r="D2"/>
</calcChain>
</file>

<file path=xl/sharedStrings.xml><?xml version="1.0" encoding="utf-8"?>
<sst xmlns="http://schemas.openxmlformats.org/spreadsheetml/2006/main" count="65" uniqueCount="55">
  <si>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</si>
  <si>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</si>
  <si>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</si>
  <si>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</si>
  <si>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</si>
  <si>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</si>
  <si>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</si>
  <si>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</si>
  <si>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</si>
  <si>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</si>
  <si>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</si>
  <si>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</si>
  <si>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</si>
  <si>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</si>
  <si>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</si>
  <si>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</si>
  <si>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</si>
  <si>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</si>
  <si>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</si>
  <si>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</si>
  <si>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</si>
  <si>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</si>
  <si>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</si>
  <si>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</si>
  <si>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</si>
  <si>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</si>
  <si>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</si>
  <si>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</si>
  <si>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</si>
  <si>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</si>
  <si>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</si>
  <si>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</si>
  <si>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</si>
  <si>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</si>
  <si>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</si>
  <si>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</si>
  <si>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</si>
  <si>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</si>
  <si>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</si>
  <si>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</si>
  <si>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</si>
  <si>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</si>
  <si>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</si>
  <si>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</si>
  <si>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</si>
  <si>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</si>
  <si>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</si>
  <si>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</si>
  <si>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</si>
  <si>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Fassaroe, Bray</t>
  </si>
  <si>
    <t>Wicklow</t>
  </si>
  <si>
    <t>10in</t>
  </si>
  <si>
    <t>Richard M. Barrington</t>
  </si>
  <si>
    <t>Bray</t>
  </si>
  <si>
    <t>9am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</si>
</sst>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topLeftCell="L1" workbookViewId="0">
      <selection activeCell="V14" sqref="V14"/>
    </sheetView>
  </sheetViews>
  <sheetFormatPr defaultRowHeight="15"/>
  <cols>
    <col min="1" max="1" width="19.28515625" style="1" customWidth="1"/>
    <col min="2" max="2" width="9.140625" style="4"/>
  </cols>
  <sheetData>
    <row r="1" spans="1: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>
      <c r="A2" s="1" t="s">
        <v>21</v>
      </c>
      <c r="B2" s="4">
        <v>5811</v>
      </c>
      <c r="D2">
        <f>($B$1)</f>
        <v>7</v>
      </c>
      <c r="E2">
        <f>($B$2)</f>
        <v>5811</v>
      </c>
      <c r="F2">
        <v>1</v>
      </c>
      <c r="G2">
        <v>1</v>
      </c>
      <c r="I2">
        <v>7.0000000000000007E-2</v>
      </c>
      <c r="J2">
        <v>0.22500000000000001</v>
      </c>
      <c r="L2">
        <v>0.18</v>
      </c>
      <c r="R2">
        <v>0.24</v>
      </c>
      <c r="T2">
        <v>1</v>
      </c>
      <c r="U2">
        <v>10.42</v>
      </c>
      <c r="V2">
        <v>22</v>
      </c>
      <c r="Y2" s="3">
        <f>SUM(H2:H32)</f>
        <v>10.420000000000002</v>
      </c>
    </row>
    <row r="3" spans="1:25">
      <c r="A3" s="1" t="s">
        <v>22</v>
      </c>
      <c r="B3" t="s">
        <v>49</v>
      </c>
      <c r="D3">
        <f t="shared" ref="D3:D32" si="0">($B$1)</f>
        <v>7</v>
      </c>
      <c r="E3">
        <f t="shared" ref="E3:E32" si="1">($B$2)</f>
        <v>5811</v>
      </c>
      <c r="F3">
        <v>2</v>
      </c>
      <c r="G3">
        <v>2</v>
      </c>
      <c r="H3">
        <v>0.12</v>
      </c>
      <c r="I3">
        <v>0.03</v>
      </c>
      <c r="J3">
        <v>0.3</v>
      </c>
      <c r="K3">
        <v>0.54</v>
      </c>
      <c r="L3">
        <v>0.45500000000000002</v>
      </c>
      <c r="M3">
        <v>0.06</v>
      </c>
      <c r="R3">
        <v>0.36</v>
      </c>
      <c r="T3">
        <v>2</v>
      </c>
      <c r="U3">
        <v>1.845</v>
      </c>
      <c r="V3">
        <v>14</v>
      </c>
      <c r="Y3" s="3">
        <f>SUM(I:I)</f>
        <v>1.845</v>
      </c>
    </row>
    <row r="4" spans="1:25">
      <c r="A4" s="1" t="s">
        <v>23</v>
      </c>
      <c r="B4" s="4" t="s">
        <v>48</v>
      </c>
      <c r="D4">
        <f t="shared" si="0"/>
        <v>7</v>
      </c>
      <c r="E4">
        <f t="shared" si="1"/>
        <v>5811</v>
      </c>
      <c r="F4">
        <v>3</v>
      </c>
      <c r="G4">
        <v>3</v>
      </c>
      <c r="H4">
        <v>0.32</v>
      </c>
      <c r="I4">
        <v>1.4999999999999999E-2</v>
      </c>
      <c r="J4">
        <v>7.0000000000000007E-2</v>
      </c>
      <c r="L4">
        <v>7.0000000000000007E-2</v>
      </c>
      <c r="P4">
        <v>3.5000000000000003E-2</v>
      </c>
      <c r="Q4">
        <v>0.185</v>
      </c>
      <c r="S4">
        <v>0.88</v>
      </c>
      <c r="T4">
        <v>3</v>
      </c>
      <c r="U4">
        <v>3.105</v>
      </c>
      <c r="V4">
        <v>24</v>
      </c>
      <c r="Y4" s="3">
        <f>SUM(J:J)</f>
        <v>3.1049999999999995</v>
      </c>
    </row>
    <row r="5" spans="1:25">
      <c r="A5" s="1" t="s">
        <v>24</v>
      </c>
      <c r="D5">
        <f t="shared" si="0"/>
        <v>7</v>
      </c>
      <c r="E5">
        <f t="shared" si="1"/>
        <v>5811</v>
      </c>
      <c r="F5">
        <v>4</v>
      </c>
      <c r="G5">
        <v>4</v>
      </c>
      <c r="J5">
        <v>0.08</v>
      </c>
      <c r="Q5">
        <v>0.4</v>
      </c>
      <c r="S5">
        <v>0.17</v>
      </c>
      <c r="T5">
        <v>4</v>
      </c>
      <c r="U5">
        <v>4.4349999999999996</v>
      </c>
      <c r="V5">
        <v>19</v>
      </c>
      <c r="Y5" s="3">
        <f>SUM(K:K)</f>
        <v>4.4349999999999996</v>
      </c>
    </row>
    <row r="6" spans="1:25">
      <c r="A6" s="1" t="s">
        <v>25</v>
      </c>
      <c r="D6">
        <f t="shared" si="0"/>
        <v>7</v>
      </c>
      <c r="E6">
        <f t="shared" si="1"/>
        <v>5811</v>
      </c>
      <c r="F6">
        <v>5</v>
      </c>
      <c r="G6">
        <v>5</v>
      </c>
      <c r="I6">
        <v>0.12</v>
      </c>
      <c r="J6">
        <v>7.0000000000000007E-2</v>
      </c>
      <c r="L6">
        <v>0.6</v>
      </c>
      <c r="M6">
        <v>0.19500000000000001</v>
      </c>
      <c r="N6">
        <v>0.03</v>
      </c>
      <c r="Q6">
        <v>0.91</v>
      </c>
      <c r="R6">
        <v>0.14000000000000001</v>
      </c>
      <c r="S6">
        <v>0.14499999999999999</v>
      </c>
      <c r="T6">
        <v>5</v>
      </c>
      <c r="U6">
        <v>4.42</v>
      </c>
      <c r="V6">
        <v>17</v>
      </c>
      <c r="Y6" s="3">
        <f>SUM(L:L)</f>
        <v>4.4200000000000008</v>
      </c>
    </row>
    <row r="7" spans="1:25">
      <c r="A7" s="1" t="s">
        <v>26</v>
      </c>
      <c r="D7">
        <f t="shared" si="0"/>
        <v>7</v>
      </c>
      <c r="E7">
        <f t="shared" si="1"/>
        <v>5811</v>
      </c>
      <c r="F7">
        <v>6</v>
      </c>
      <c r="G7">
        <v>6</v>
      </c>
      <c r="H7">
        <v>0.09</v>
      </c>
      <c r="I7">
        <v>0.09</v>
      </c>
      <c r="J7">
        <v>0.52</v>
      </c>
      <c r="L7">
        <v>0.1</v>
      </c>
      <c r="M7">
        <v>2.5000000000000001E-2</v>
      </c>
      <c r="N7">
        <v>0.03</v>
      </c>
      <c r="Q7">
        <v>0.12</v>
      </c>
      <c r="R7">
        <v>0.06</v>
      </c>
      <c r="S7">
        <v>0.43</v>
      </c>
      <c r="T7">
        <v>6</v>
      </c>
      <c r="U7">
        <v>1.01</v>
      </c>
      <c r="V7">
        <v>11</v>
      </c>
      <c r="Y7" s="3">
        <f>SUM(M:M)</f>
        <v>1.01</v>
      </c>
    </row>
    <row r="8" spans="1:25">
      <c r="A8" s="1" t="s">
        <v>27</v>
      </c>
      <c r="D8">
        <f t="shared" si="0"/>
        <v>7</v>
      </c>
      <c r="E8">
        <f t="shared" si="1"/>
        <v>5811</v>
      </c>
      <c r="F8">
        <v>7</v>
      </c>
      <c r="G8">
        <v>7</v>
      </c>
      <c r="H8">
        <v>0.39</v>
      </c>
      <c r="I8">
        <v>0.56000000000000005</v>
      </c>
      <c r="J8">
        <v>0.05</v>
      </c>
      <c r="L8">
        <v>0.71</v>
      </c>
      <c r="M8">
        <v>0.115</v>
      </c>
      <c r="N8">
        <v>0.02</v>
      </c>
      <c r="Q8">
        <v>0.75</v>
      </c>
      <c r="R8">
        <v>0.69</v>
      </c>
      <c r="S8">
        <v>0.01</v>
      </c>
      <c r="T8">
        <v>7</v>
      </c>
      <c r="U8">
        <v>0.73</v>
      </c>
      <c r="V8">
        <v>14</v>
      </c>
      <c r="Y8" s="3">
        <f>SUM(N:N)</f>
        <v>0.73</v>
      </c>
    </row>
    <row r="9" spans="1:25">
      <c r="A9" s="1" t="s">
        <v>28</v>
      </c>
      <c r="B9" s="4">
        <v>1913</v>
      </c>
      <c r="D9">
        <f t="shared" si="0"/>
        <v>7</v>
      </c>
      <c r="E9">
        <f t="shared" si="1"/>
        <v>5811</v>
      </c>
      <c r="F9">
        <v>8</v>
      </c>
      <c r="G9">
        <v>8</v>
      </c>
      <c r="H9">
        <v>0.38</v>
      </c>
      <c r="I9">
        <v>0.16</v>
      </c>
      <c r="J9">
        <v>0.03</v>
      </c>
      <c r="L9">
        <v>0.44</v>
      </c>
      <c r="M9">
        <v>6.5000000000000002E-2</v>
      </c>
      <c r="N9">
        <v>2.5000000000000001E-2</v>
      </c>
      <c r="O9">
        <v>2.5000000000000001E-2</v>
      </c>
      <c r="P9">
        <v>2.5000000000000001E-2</v>
      </c>
      <c r="Q9">
        <v>8.5000000000000006E-2</v>
      </c>
      <c r="R9">
        <v>0.11</v>
      </c>
      <c r="S9">
        <v>3.5000000000000003E-2</v>
      </c>
      <c r="T9">
        <v>8</v>
      </c>
      <c r="U9">
        <v>0.89500000000000002</v>
      </c>
      <c r="V9">
        <v>7</v>
      </c>
      <c r="Y9" s="3">
        <f>SUM(O:O)</f>
        <v>0.89500000000000002</v>
      </c>
    </row>
    <row r="10" spans="1:25">
      <c r="A10" s="1" t="s">
        <v>16</v>
      </c>
      <c r="B10" s="4">
        <v>1</v>
      </c>
      <c r="D10">
        <f t="shared" si="0"/>
        <v>7</v>
      </c>
      <c r="E10">
        <f t="shared" si="1"/>
        <v>5811</v>
      </c>
      <c r="F10">
        <v>9</v>
      </c>
      <c r="G10">
        <v>9</v>
      </c>
      <c r="H10">
        <v>0.28000000000000003</v>
      </c>
      <c r="I10">
        <v>8.5000000000000006E-2</v>
      </c>
      <c r="J10">
        <v>0.02</v>
      </c>
      <c r="L10">
        <v>0.12</v>
      </c>
      <c r="M10">
        <v>0.18</v>
      </c>
      <c r="N10">
        <v>0.02</v>
      </c>
      <c r="O10">
        <v>0.21</v>
      </c>
      <c r="P10">
        <v>0.06</v>
      </c>
      <c r="R10">
        <v>1.02</v>
      </c>
      <c r="S10">
        <v>0.03</v>
      </c>
      <c r="T10">
        <v>9</v>
      </c>
      <c r="U10">
        <v>4.2050000000000001</v>
      </c>
      <c r="V10">
        <v>14</v>
      </c>
      <c r="Y10" s="3">
        <f>SUM(P:P)</f>
        <v>4.2049999999999983</v>
      </c>
    </row>
    <row r="11" spans="1:25">
      <c r="A11" s="1" t="s">
        <v>3</v>
      </c>
      <c r="B11" s="4">
        <v>1</v>
      </c>
      <c r="D11">
        <f t="shared" si="0"/>
        <v>7</v>
      </c>
      <c r="E11">
        <f t="shared" si="1"/>
        <v>5811</v>
      </c>
      <c r="F11">
        <v>10</v>
      </c>
      <c r="G11">
        <v>10</v>
      </c>
      <c r="H11">
        <v>2.4700000000000002</v>
      </c>
      <c r="J11">
        <v>0.03</v>
      </c>
      <c r="K11">
        <v>0.04</v>
      </c>
      <c r="L11">
        <v>0.08</v>
      </c>
      <c r="O11">
        <v>0.48</v>
      </c>
      <c r="Q11">
        <v>1.05</v>
      </c>
      <c r="R11">
        <v>0.34</v>
      </c>
      <c r="T11">
        <v>10</v>
      </c>
      <c r="U11">
        <v>6.85</v>
      </c>
      <c r="V11">
        <v>19</v>
      </c>
      <c r="Y11" s="3">
        <f>SUM(Q:Q)</f>
        <v>6.8500000000000005</v>
      </c>
    </row>
    <row r="12" spans="1:25">
      <c r="A12" s="1" t="s">
        <v>29</v>
      </c>
      <c r="B12" s="4" t="s">
        <v>48</v>
      </c>
      <c r="D12">
        <f t="shared" si="0"/>
        <v>7</v>
      </c>
      <c r="E12">
        <f t="shared" si="1"/>
        <v>5811</v>
      </c>
      <c r="F12">
        <v>11</v>
      </c>
      <c r="G12">
        <v>11</v>
      </c>
      <c r="H12">
        <v>7.4999999999999997E-2</v>
      </c>
      <c r="I12">
        <v>0.01</v>
      </c>
      <c r="K12">
        <v>0.2</v>
      </c>
      <c r="L12">
        <v>0.44</v>
      </c>
      <c r="M12">
        <v>2.5000000000000001E-2</v>
      </c>
      <c r="Q12">
        <v>0.06</v>
      </c>
      <c r="R12">
        <v>0.65</v>
      </c>
      <c r="S12">
        <v>0.02</v>
      </c>
      <c r="T12">
        <v>11</v>
      </c>
      <c r="U12">
        <v>4.9400000000000004</v>
      </c>
      <c r="V12">
        <v>20</v>
      </c>
      <c r="Y12" s="3">
        <f>SUM(R:R)</f>
        <v>4.9399999999999986</v>
      </c>
    </row>
    <row r="13" spans="1:25">
      <c r="A13" s="1" t="s">
        <v>30</v>
      </c>
      <c r="D13">
        <f t="shared" si="0"/>
        <v>7</v>
      </c>
      <c r="E13">
        <f t="shared" si="1"/>
        <v>5811</v>
      </c>
      <c r="F13">
        <v>12</v>
      </c>
      <c r="G13">
        <v>12</v>
      </c>
      <c r="I13">
        <v>0.01</v>
      </c>
      <c r="K13">
        <v>0.05</v>
      </c>
      <c r="L13">
        <v>0.66</v>
      </c>
      <c r="N13">
        <v>0.04</v>
      </c>
      <c r="P13">
        <v>0.83499999999999996</v>
      </c>
      <c r="Q13">
        <v>3.5000000000000003E-2</v>
      </c>
      <c r="R13">
        <v>0.36</v>
      </c>
      <c r="T13">
        <v>12</v>
      </c>
      <c r="U13">
        <v>2.2000000000000002</v>
      </c>
      <c r="V13">
        <v>10</v>
      </c>
      <c r="Y13" s="3">
        <f>SUM(S:S)</f>
        <v>2.1999999999999997</v>
      </c>
    </row>
    <row r="14" spans="1:25">
      <c r="D14">
        <f t="shared" si="0"/>
        <v>7</v>
      </c>
      <c r="E14">
        <f t="shared" si="1"/>
        <v>5811</v>
      </c>
      <c r="F14">
        <v>13</v>
      </c>
      <c r="G14">
        <v>13</v>
      </c>
      <c r="H14">
        <v>0.16</v>
      </c>
      <c r="J14">
        <v>1.4999999999999999E-2</v>
      </c>
      <c r="K14">
        <v>1.4999999999999999E-2</v>
      </c>
      <c r="N14">
        <v>0.02</v>
      </c>
      <c r="P14">
        <v>1.085</v>
      </c>
      <c r="Q14">
        <v>0.18</v>
      </c>
      <c r="R14">
        <v>2.5000000000000001E-2</v>
      </c>
    </row>
    <row r="15" spans="1:25">
      <c r="A15" s="1" t="s">
        <v>0</v>
      </c>
      <c r="B15" s="4">
        <v>7</v>
      </c>
      <c r="D15">
        <f t="shared" si="0"/>
        <v>7</v>
      </c>
      <c r="E15">
        <f t="shared" si="1"/>
        <v>5811</v>
      </c>
      <c r="F15">
        <v>14</v>
      </c>
      <c r="G15">
        <v>14</v>
      </c>
      <c r="H15">
        <v>0.98</v>
      </c>
      <c r="I15">
        <v>1.4999999999999999E-2</v>
      </c>
      <c r="J15">
        <v>7.4999999999999997E-2</v>
      </c>
      <c r="K15">
        <v>0.08</v>
      </c>
      <c r="N15">
        <v>0.24</v>
      </c>
      <c r="P15">
        <v>0.02</v>
      </c>
      <c r="Q15">
        <v>0.03</v>
      </c>
      <c r="R15">
        <v>0.02</v>
      </c>
    </row>
    <row r="16" spans="1:25">
      <c r="A16" s="1" t="s">
        <v>1</v>
      </c>
      <c r="B16" s="4">
        <v>5811</v>
      </c>
      <c r="D16">
        <f t="shared" si="0"/>
        <v>7</v>
      </c>
      <c r="E16">
        <f t="shared" si="1"/>
        <v>5811</v>
      </c>
      <c r="F16">
        <v>15</v>
      </c>
      <c r="G16">
        <v>15</v>
      </c>
      <c r="H16">
        <v>0.01</v>
      </c>
      <c r="J16">
        <v>0.35499999999999998</v>
      </c>
      <c r="K16">
        <v>0.4</v>
      </c>
      <c r="P16">
        <v>0.185</v>
      </c>
      <c r="R16">
        <v>0.06</v>
      </c>
    </row>
    <row r="17" spans="1:19">
      <c r="A17" s="1" t="s">
        <v>2</v>
      </c>
      <c r="B17" s="4">
        <v>1</v>
      </c>
      <c r="D17">
        <f t="shared" si="0"/>
        <v>7</v>
      </c>
      <c r="E17">
        <f t="shared" si="1"/>
        <v>5811</v>
      </c>
      <c r="F17">
        <v>16</v>
      </c>
      <c r="G17">
        <v>16</v>
      </c>
      <c r="H17">
        <v>0.43</v>
      </c>
      <c r="J17">
        <v>1.4999999999999999E-2</v>
      </c>
      <c r="K17">
        <v>7.0000000000000007E-2</v>
      </c>
      <c r="N17">
        <v>0.03</v>
      </c>
      <c r="O17">
        <v>0.02</v>
      </c>
    </row>
    <row r="18" spans="1:19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5811</v>
      </c>
      <c r="F18">
        <v>17</v>
      </c>
      <c r="G18">
        <v>17</v>
      </c>
      <c r="K18">
        <v>5.5E-2</v>
      </c>
      <c r="N18">
        <v>0.02</v>
      </c>
      <c r="R18">
        <v>0.19</v>
      </c>
    </row>
    <row r="19" spans="1:19">
      <c r="A19" s="1" t="s">
        <v>28</v>
      </c>
      <c r="B19" s="4">
        <v>1913</v>
      </c>
      <c r="D19">
        <f t="shared" si="0"/>
        <v>7</v>
      </c>
      <c r="E19">
        <f t="shared" si="1"/>
        <v>5811</v>
      </c>
      <c r="F19">
        <v>18</v>
      </c>
      <c r="G19">
        <v>18</v>
      </c>
      <c r="H19">
        <v>0.2</v>
      </c>
      <c r="J19">
        <v>0.51</v>
      </c>
      <c r="K19">
        <v>0.15</v>
      </c>
      <c r="L19">
        <v>1.4999999999999999E-2</v>
      </c>
      <c r="M19">
        <v>0.06</v>
      </c>
      <c r="N19">
        <v>7.0000000000000007E-2</v>
      </c>
      <c r="R19">
        <v>0.05</v>
      </c>
    </row>
    <row r="20" spans="1:19">
      <c r="A20" s="1" t="s">
        <v>32</v>
      </c>
      <c r="B20" t="s">
        <v>49</v>
      </c>
      <c r="D20">
        <f t="shared" si="0"/>
        <v>7</v>
      </c>
      <c r="E20">
        <f t="shared" si="1"/>
        <v>5811</v>
      </c>
      <c r="F20">
        <v>19</v>
      </c>
      <c r="G20">
        <v>19</v>
      </c>
      <c r="H20">
        <v>1.45</v>
      </c>
      <c r="J20">
        <v>3.5000000000000003E-2</v>
      </c>
      <c r="K20">
        <v>0.02</v>
      </c>
      <c r="M20">
        <v>0.215</v>
      </c>
      <c r="N20">
        <v>0.05</v>
      </c>
      <c r="P20">
        <v>0.97</v>
      </c>
      <c r="Q20">
        <v>0.67</v>
      </c>
    </row>
    <row r="21" spans="1:19">
      <c r="A21" s="1" t="s">
        <v>33</v>
      </c>
      <c r="B21" s="4" t="s">
        <v>50</v>
      </c>
      <c r="D21">
        <f t="shared" si="0"/>
        <v>7</v>
      </c>
      <c r="E21">
        <f t="shared" si="1"/>
        <v>5811</v>
      </c>
      <c r="F21">
        <v>20</v>
      </c>
      <c r="G21">
        <v>20</v>
      </c>
      <c r="H21">
        <v>0.21</v>
      </c>
      <c r="J21">
        <v>1.4999999999999999E-2</v>
      </c>
      <c r="K21">
        <v>0.39</v>
      </c>
      <c r="L21">
        <v>0.02</v>
      </c>
      <c r="N21">
        <v>1.4999999999999999E-2</v>
      </c>
      <c r="P21">
        <v>2.5000000000000001E-2</v>
      </c>
      <c r="Q21">
        <v>0.1</v>
      </c>
      <c r="R21">
        <v>0.38500000000000001</v>
      </c>
    </row>
    <row r="22" spans="1:19">
      <c r="A22" s="1" t="s">
        <v>34</v>
      </c>
      <c r="B22" s="4" t="s">
        <v>51</v>
      </c>
      <c r="D22">
        <f t="shared" si="0"/>
        <v>7</v>
      </c>
      <c r="E22">
        <f t="shared" si="1"/>
        <v>5811</v>
      </c>
      <c r="F22">
        <v>21</v>
      </c>
      <c r="G22">
        <v>21</v>
      </c>
      <c r="J22">
        <v>0.03</v>
      </c>
      <c r="L22">
        <v>0.21</v>
      </c>
      <c r="N22">
        <v>0.12</v>
      </c>
      <c r="O22">
        <v>1.4999999999999999E-2</v>
      </c>
      <c r="P22">
        <v>0.04</v>
      </c>
    </row>
    <row r="23" spans="1:19">
      <c r="A23" s="1" t="s">
        <v>35</v>
      </c>
      <c r="B23" s="4">
        <v>5</v>
      </c>
      <c r="D23">
        <f t="shared" si="0"/>
        <v>7</v>
      </c>
      <c r="E23">
        <f t="shared" si="1"/>
        <v>5811</v>
      </c>
      <c r="F23">
        <v>22</v>
      </c>
      <c r="G23">
        <v>22</v>
      </c>
      <c r="H23">
        <v>0.83</v>
      </c>
      <c r="J23">
        <v>1.4999999999999999E-2</v>
      </c>
      <c r="M23">
        <v>0.05</v>
      </c>
      <c r="O23">
        <v>0.12</v>
      </c>
      <c r="P23">
        <v>0.7</v>
      </c>
    </row>
    <row r="24" spans="1:19">
      <c r="A24" s="1" t="s">
        <v>36</v>
      </c>
      <c r="B24" s="4">
        <v>0</v>
      </c>
      <c r="D24">
        <f t="shared" si="0"/>
        <v>7</v>
      </c>
      <c r="E24">
        <f t="shared" si="1"/>
        <v>5811</v>
      </c>
      <c r="F24">
        <v>23</v>
      </c>
      <c r="G24">
        <v>23</v>
      </c>
      <c r="H24">
        <v>0.15</v>
      </c>
      <c r="J24">
        <v>0.1</v>
      </c>
      <c r="K24">
        <v>1.4999999999999999E-2</v>
      </c>
      <c r="M24">
        <v>0.02</v>
      </c>
      <c r="P24">
        <v>0.06</v>
      </c>
      <c r="R24">
        <v>0.05</v>
      </c>
    </row>
    <row r="25" spans="1:19">
      <c r="A25" s="1" t="s">
        <v>37</v>
      </c>
      <c r="B25" s="4">
        <v>250</v>
      </c>
      <c r="D25">
        <f t="shared" si="0"/>
        <v>7</v>
      </c>
      <c r="E25">
        <f t="shared" si="1"/>
        <v>5811</v>
      </c>
      <c r="F25">
        <v>24</v>
      </c>
      <c r="G25">
        <v>24</v>
      </c>
      <c r="H25">
        <v>0.08</v>
      </c>
      <c r="I25">
        <v>0.53</v>
      </c>
      <c r="K25">
        <v>0.15</v>
      </c>
      <c r="P25">
        <v>0.02</v>
      </c>
      <c r="R25">
        <v>0.125</v>
      </c>
    </row>
    <row r="26" spans="1:19">
      <c r="A26" s="1" t="s">
        <v>38</v>
      </c>
      <c r="D26">
        <f t="shared" si="0"/>
        <v>7</v>
      </c>
      <c r="E26">
        <f t="shared" si="1"/>
        <v>5811</v>
      </c>
      <c r="F26">
        <v>25</v>
      </c>
      <c r="G26">
        <v>25</v>
      </c>
      <c r="I26">
        <v>0.09</v>
      </c>
      <c r="K26">
        <v>0.5</v>
      </c>
      <c r="Q26">
        <v>0.13</v>
      </c>
      <c r="S26">
        <v>0.18</v>
      </c>
    </row>
    <row r="27" spans="1:19">
      <c r="A27" s="1" t="s">
        <v>30</v>
      </c>
      <c r="D27">
        <f t="shared" si="0"/>
        <v>7</v>
      </c>
      <c r="E27">
        <f t="shared" si="1"/>
        <v>5811</v>
      </c>
      <c r="F27">
        <v>26</v>
      </c>
      <c r="G27">
        <v>26</v>
      </c>
      <c r="J27">
        <v>2.5000000000000001E-2</v>
      </c>
      <c r="K27">
        <v>0.56999999999999995</v>
      </c>
      <c r="P27">
        <v>0.14499999999999999</v>
      </c>
      <c r="Q27">
        <v>0.16</v>
      </c>
      <c r="S27">
        <v>0.3</v>
      </c>
    </row>
    <row r="28" spans="1:19">
      <c r="A28" s="1" t="s">
        <v>39</v>
      </c>
      <c r="B28" s="4">
        <v>45.055</v>
      </c>
      <c r="D28">
        <f t="shared" si="0"/>
        <v>7</v>
      </c>
      <c r="E28">
        <f t="shared" si="1"/>
        <v>5811</v>
      </c>
      <c r="F28">
        <v>27</v>
      </c>
      <c r="G28">
        <v>27</v>
      </c>
      <c r="H28">
        <v>0.55000000000000004</v>
      </c>
      <c r="J28">
        <v>0.17</v>
      </c>
      <c r="K28">
        <v>0.23</v>
      </c>
      <c r="Q28">
        <v>0.78</v>
      </c>
    </row>
    <row r="29" spans="1:19">
      <c r="A29" s="1" t="s">
        <v>40</v>
      </c>
      <c r="B29" s="4">
        <v>191</v>
      </c>
      <c r="D29">
        <f t="shared" si="0"/>
        <v>7</v>
      </c>
      <c r="E29">
        <f t="shared" si="1"/>
        <v>5811</v>
      </c>
      <c r="F29">
        <v>28</v>
      </c>
      <c r="G29">
        <v>28</v>
      </c>
      <c r="H29">
        <v>0.31</v>
      </c>
      <c r="I29">
        <v>0.06</v>
      </c>
      <c r="J29">
        <v>0.34</v>
      </c>
      <c r="K29">
        <v>7.0000000000000007E-2</v>
      </c>
      <c r="O29">
        <v>2.5000000000000001E-2</v>
      </c>
      <c r="Q29">
        <v>0.82</v>
      </c>
    </row>
    <row r="30" spans="1:19">
      <c r="A30" s="1" t="s">
        <v>41</v>
      </c>
      <c r="D30">
        <f t="shared" si="0"/>
        <v>7</v>
      </c>
      <c r="E30">
        <f t="shared" si="1"/>
        <v>5811</v>
      </c>
      <c r="F30">
        <v>29</v>
      </c>
      <c r="G30">
        <v>29</v>
      </c>
      <c r="K30">
        <v>0.89</v>
      </c>
      <c r="L30">
        <v>0.125</v>
      </c>
      <c r="Q30">
        <v>0.37</v>
      </c>
      <c r="R30">
        <v>4.4999999999999998E-2</v>
      </c>
    </row>
    <row r="31" spans="1:19">
      <c r="A31" s="1" t="s">
        <v>42</v>
      </c>
      <c r="B31" t="s">
        <v>52</v>
      </c>
      <c r="D31">
        <f t="shared" si="0"/>
        <v>7</v>
      </c>
      <c r="E31">
        <f t="shared" si="1"/>
        <v>5811</v>
      </c>
      <c r="F31">
        <v>30</v>
      </c>
      <c r="G31">
        <v>30</v>
      </c>
      <c r="H31">
        <v>0.66500000000000004</v>
      </c>
      <c r="J31">
        <v>0.01</v>
      </c>
      <c r="L31">
        <v>0.15</v>
      </c>
      <c r="Q31">
        <v>1.4999999999999999E-2</v>
      </c>
      <c r="R31">
        <v>0.02</v>
      </c>
    </row>
    <row r="32" spans="1:19">
      <c r="A32" s="1" t="s">
        <v>43</v>
      </c>
      <c r="B32" s="4" t="s">
        <v>53</v>
      </c>
      <c r="D32">
        <f t="shared" si="0"/>
        <v>7</v>
      </c>
      <c r="E32">
        <f t="shared" si="1"/>
        <v>5811</v>
      </c>
      <c r="F32">
        <v>31</v>
      </c>
      <c r="G32">
        <v>31</v>
      </c>
      <c r="H32">
        <v>0.27</v>
      </c>
      <c r="L32">
        <v>4.4999999999999998E-2</v>
      </c>
    </row>
    <row r="33" spans="1:2">
      <c r="A33" s="1" t="s">
        <v>44</v>
      </c>
    </row>
    <row r="34" spans="1:2">
      <c r="A34" s="1" t="s">
        <v>45</v>
      </c>
    </row>
    <row r="35" spans="1:2">
      <c r="A35" s="1" t="s">
        <v>46</v>
      </c>
    </row>
    <row r="36" spans="1:2">
      <c r="A36" s="1" t="s">
        <v>47</v>
      </c>
      <c r="B36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Simon</cp:lastModifiedBy>
  <dcterms:created xsi:type="dcterms:W3CDTF">2016-09-30T14:22:39Z</dcterms:created>
  <dcterms:modified xsi:type="dcterms:W3CDTF">2018-03-26T11:57:13Z</dcterms:modified>
</cp:coreProperties>
</file>