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709"/>
  <workbookPr/>
  <mc:AlternateContent xmlns:mc="http://schemas.openxmlformats.org/markup-compatibility/2006">
    <mc:Choice Requires="x15">
      <x15ac:absPath xmlns:x15ac="http://schemas.microsoft.com/office/spreadsheetml/2010/11/ac" url="/Users/denis/Desktop/University College London/Practical Statistics/THA/"/>
    </mc:Choice>
  </mc:AlternateContent>
  <bookViews>
    <workbookView xWindow="0" yWindow="460" windowWidth="10000" windowHeight="14500"/>
  </bookViews>
  <sheets>
    <sheet name="Form 5 template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<sst xmlns="http://schemas.openxmlformats.org/spreadsheetml/2006/main" count="151" uniqueCount="59">
  <si>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</si>
  <si>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</si>
  <si>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</si>
  <si>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</si>
  <si>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</si>
  <si>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</si>
  <si>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</si>
  <si>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</si>
  <si>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</si>
  <si>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</si>
  <si>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</si>
  <si>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</si>
  <si>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</si>
  <si>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</si>
  <si>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</si>
  <si>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</si>
  <si>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</si>
  <si>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</si>
  <si>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</si>
  <si>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</si>
  <si>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</si>
  <si>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</si>
  <si>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</si>
  <si>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</si>
  <si>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</si>
  <si>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</si>
  <si>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</si>
  <si>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</si>
  <si>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</si>
  <si>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</si>
  <si>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</si>
  <si>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</si>
  <si>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</si>
  <si>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</si>
  <si>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</si>
  <si>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</si>
  <si>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</si>
  <si>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</si>
  <si>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</si>
  <si>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</si>
  <si>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</si>
  <si>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</si>
  <si>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</si>
  <si>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</si>
  <si>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</si>
  <si>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</si>
  <si>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</si>
  <si>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</si>
  <si>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</si>
  <si>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</si>
  <si>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Pen and pencil marks, but good visibility.</t>
  </si>
  <si>
    <t>Kilkenny</t>
  </si>
  <si>
    <t>5 inch</t>
  </si>
  <si>
    <t xml:space="preserve">380ft </t>
  </si>
  <si>
    <t xml:space="preserve">na </t>
  </si>
  <si>
    <t>35.50</t>
  </si>
  <si>
    <t xml:space="preserve">R.H. Prior-Wandesforde </t>
  </si>
  <si>
    <t xml:space="preserve">Castlecomer </t>
  </si>
  <si>
    <t>10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</si>
</sst>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S1" zoomScale="88" zoomScaleNormal="130" zoomScalePageLayoutView="130" workbookViewId="0">
      <selection activeCell="Y18" sqref="Y18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4615</v>
      </c>
      <c r="D2">
        <f>($B$1)</f>
        <v>5</v>
      </c>
      <c r="E2">
        <f>($B$2)</f>
        <v>4615</v>
      </c>
      <c r="F2">
        <v>1</v>
      </c>
      <c r="G2">
        <v>1</v>
      </c>
      <c r="H2" s="6">
        <v>0.09</v>
      </c>
      <c r="I2" s="6">
        <v>0.49</v>
      </c>
      <c r="K2" s="6">
        <v>0.01</v>
      </c>
      <c r="N2" s="6">
        <v>0.23</v>
      </c>
      <c r="O2" s="6">
        <v>0.15</v>
      </c>
      <c r="P2" s="6">
        <v>0.1</v>
      </c>
      <c r="S2" s="6">
        <v>0.01</v>
      </c>
      <c r="T2">
        <v>1</v>
      </c>
      <c r="U2">
        <v>4.59</v>
      </c>
      <c r="V2">
        <v>23</v>
      </c>
      <c r="W2">
        <v>19</v>
      </c>
      <c r="Y2" s="2">
        <f>SUM(H2:H32)</f>
        <v>4.589999999999999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4615</v>
      </c>
      <c r="F3">
        <v>2</v>
      </c>
      <c r="G3">
        <v>2</v>
      </c>
      <c r="H3" s="6">
        <v>7.0000000000000007E-2</v>
      </c>
      <c r="I3" s="6">
        <v>0.17</v>
      </c>
      <c r="J3" s="6">
        <v>0.14000000000000001</v>
      </c>
      <c r="L3" s="6">
        <v>0.28999999999999998</v>
      </c>
      <c r="N3" s="6">
        <v>0.17</v>
      </c>
      <c r="O3" s="6">
        <v>0.1</v>
      </c>
      <c r="P3" s="6">
        <v>0.38</v>
      </c>
      <c r="Q3" s="6">
        <v>0.05</v>
      </c>
      <c r="R3" s="6">
        <v>0.04</v>
      </c>
      <c r="T3">
        <v>2</v>
      </c>
      <c r="U3">
        <v>3.26</v>
      </c>
      <c r="V3">
        <v>23</v>
      </c>
      <c r="W3">
        <v>20</v>
      </c>
      <c r="Y3" s="2">
        <f>SUM(I:I)</f>
        <v>3.2600000000000011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4615</v>
      </c>
      <c r="F4">
        <v>3</v>
      </c>
      <c r="G4">
        <v>3</v>
      </c>
      <c r="H4" s="6">
        <v>0.02</v>
      </c>
      <c r="I4" s="6">
        <v>0.16</v>
      </c>
      <c r="L4" s="6">
        <v>0.04</v>
      </c>
      <c r="N4" s="6">
        <v>0.12</v>
      </c>
      <c r="O4" s="6">
        <v>0.84</v>
      </c>
      <c r="P4" s="6">
        <v>0.03</v>
      </c>
      <c r="R4" s="6">
        <v>0.38</v>
      </c>
      <c r="S4" s="6">
        <v>0.03</v>
      </c>
      <c r="T4">
        <v>3</v>
      </c>
      <c r="U4">
        <v>2.08</v>
      </c>
      <c r="V4">
        <v>13</v>
      </c>
      <c r="W4">
        <v>10</v>
      </c>
      <c r="Y4" s="2">
        <f>SUM(J:J)</f>
        <v>2.0800000000000005</v>
      </c>
    </row>
    <row r="5" spans="1:25" x14ac:dyDescent="0.2">
      <c r="A5" s="1" t="s">
        <v>4</v>
      </c>
      <c r="B5" s="3" t="s">
        <v>48</v>
      </c>
      <c r="D5">
        <f t="shared" si="0"/>
        <v>5</v>
      </c>
      <c r="E5">
        <f t="shared" si="1"/>
        <v>4615</v>
      </c>
      <c r="F5">
        <v>4</v>
      </c>
      <c r="G5">
        <v>4</v>
      </c>
      <c r="H5" s="6">
        <v>0.11</v>
      </c>
      <c r="I5" s="6">
        <v>0.01</v>
      </c>
      <c r="J5" s="6">
        <v>0.6</v>
      </c>
      <c r="L5">
        <v>0.13</v>
      </c>
      <c r="N5" s="6">
        <v>0.02</v>
      </c>
      <c r="O5" s="6">
        <v>0.03</v>
      </c>
      <c r="Q5">
        <v>0.44</v>
      </c>
      <c r="R5">
        <v>0.23</v>
      </c>
      <c r="S5">
        <v>0.03</v>
      </c>
      <c r="T5">
        <v>4</v>
      </c>
      <c r="U5">
        <v>3.48</v>
      </c>
      <c r="V5">
        <v>23</v>
      </c>
      <c r="W5">
        <v>16</v>
      </c>
      <c r="Y5" s="2">
        <f>SUM(K:K)</f>
        <v>3.4799999999999991</v>
      </c>
    </row>
    <row r="6" spans="1:25" x14ac:dyDescent="0.2">
      <c r="A6" s="1" t="s">
        <v>5</v>
      </c>
      <c r="B6" s="3" t="s">
        <v>48</v>
      </c>
      <c r="D6">
        <f t="shared" si="0"/>
        <v>5</v>
      </c>
      <c r="E6">
        <f t="shared" si="1"/>
        <v>4615</v>
      </c>
      <c r="F6">
        <v>5</v>
      </c>
      <c r="G6">
        <v>5</v>
      </c>
      <c r="H6" s="6">
        <v>0.03</v>
      </c>
      <c r="K6" s="6">
        <v>0.05</v>
      </c>
      <c r="L6" s="6">
        <v>0.01</v>
      </c>
      <c r="N6" s="6">
        <v>0.18</v>
      </c>
      <c r="P6">
        <v>0.08</v>
      </c>
      <c r="Q6">
        <v>0.09</v>
      </c>
      <c r="R6">
        <v>0.19</v>
      </c>
      <c r="T6">
        <v>5</v>
      </c>
      <c r="U6">
        <v>1.73</v>
      </c>
      <c r="V6">
        <v>10</v>
      </c>
      <c r="W6">
        <v>8</v>
      </c>
      <c r="Y6" s="2">
        <f>SUM(L:L)</f>
        <v>1.73</v>
      </c>
    </row>
    <row r="7" spans="1:25" x14ac:dyDescent="0.2">
      <c r="A7" s="1" t="s">
        <v>6</v>
      </c>
      <c r="B7" s="3" t="s">
        <v>48</v>
      </c>
      <c r="D7">
        <f t="shared" si="0"/>
        <v>5</v>
      </c>
      <c r="E7">
        <f t="shared" si="1"/>
        <v>4615</v>
      </c>
      <c r="F7">
        <v>6</v>
      </c>
      <c r="G7">
        <v>6</v>
      </c>
      <c r="H7" s="6">
        <v>0.05</v>
      </c>
      <c r="I7" s="6">
        <v>0.06</v>
      </c>
      <c r="K7" s="6">
        <v>0.03</v>
      </c>
      <c r="N7" s="6">
        <v>0.05</v>
      </c>
      <c r="T7">
        <v>6</v>
      </c>
      <c r="U7">
        <v>1.63</v>
      </c>
      <c r="V7">
        <v>16</v>
      </c>
      <c r="W7">
        <v>13</v>
      </c>
      <c r="Y7" s="2">
        <f>SUM(M:M)</f>
        <v>1.6300000000000003</v>
      </c>
    </row>
    <row r="8" spans="1:25" x14ac:dyDescent="0.2">
      <c r="A8" s="1" t="s">
        <v>7</v>
      </c>
      <c r="B8" s="3" t="s">
        <v>48</v>
      </c>
      <c r="D8">
        <f t="shared" si="0"/>
        <v>5</v>
      </c>
      <c r="E8">
        <f t="shared" si="1"/>
        <v>4615</v>
      </c>
      <c r="F8">
        <v>7</v>
      </c>
      <c r="G8">
        <v>7</v>
      </c>
      <c r="H8" s="6">
        <v>0.15</v>
      </c>
      <c r="J8" s="6">
        <v>0.36</v>
      </c>
      <c r="K8" s="6">
        <v>0.01</v>
      </c>
      <c r="N8" s="6">
        <v>0.7</v>
      </c>
      <c r="O8" s="6">
        <v>0.38</v>
      </c>
      <c r="S8">
        <v>0.05</v>
      </c>
      <c r="T8">
        <v>7</v>
      </c>
      <c r="U8">
        <v>3.36</v>
      </c>
      <c r="V8">
        <v>22</v>
      </c>
      <c r="W8">
        <v>16</v>
      </c>
      <c r="Y8" s="2">
        <f>SUM(N:N)</f>
        <v>3.3599999999999994</v>
      </c>
    </row>
    <row r="9" spans="1:25" x14ac:dyDescent="0.2">
      <c r="A9" s="1" t="s">
        <v>8</v>
      </c>
      <c r="B9" s="3">
        <v>1922</v>
      </c>
      <c r="D9">
        <f t="shared" si="0"/>
        <v>5</v>
      </c>
      <c r="E9">
        <f t="shared" si="1"/>
        <v>4615</v>
      </c>
      <c r="F9">
        <v>8</v>
      </c>
      <c r="G9">
        <v>8</v>
      </c>
      <c r="I9" s="6">
        <v>0.22</v>
      </c>
      <c r="J9" s="6">
        <v>0.17</v>
      </c>
      <c r="K9" s="6">
        <v>0.12</v>
      </c>
      <c r="N9" s="6">
        <v>0.23</v>
      </c>
      <c r="O9" s="6">
        <v>0.11</v>
      </c>
      <c r="R9">
        <v>0.21</v>
      </c>
      <c r="S9">
        <v>0.12</v>
      </c>
      <c r="T9">
        <v>8</v>
      </c>
      <c r="U9">
        <v>4.51</v>
      </c>
      <c r="V9">
        <v>22</v>
      </c>
      <c r="W9">
        <v>18</v>
      </c>
      <c r="Y9" s="2">
        <f>SUM(O:O)</f>
        <v>4.51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4615</v>
      </c>
      <c r="F10">
        <v>9</v>
      </c>
      <c r="G10">
        <v>9</v>
      </c>
      <c r="H10" s="6">
        <v>0.28000000000000003</v>
      </c>
      <c r="I10" s="6">
        <v>0.13</v>
      </c>
      <c r="J10" s="6">
        <v>7.0000000000000007E-2</v>
      </c>
      <c r="K10" s="6">
        <v>0.01</v>
      </c>
      <c r="M10">
        <v>0.18</v>
      </c>
      <c r="N10" s="6"/>
      <c r="R10">
        <v>0.03</v>
      </c>
      <c r="T10">
        <v>9</v>
      </c>
      <c r="U10">
        <v>3.73</v>
      </c>
      <c r="V10">
        <v>21</v>
      </c>
      <c r="W10">
        <v>13</v>
      </c>
      <c r="Y10" s="2">
        <f>SUM(P:P)</f>
        <v>3.7299999999999986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4615</v>
      </c>
      <c r="F11">
        <v>10</v>
      </c>
      <c r="G11">
        <v>10</v>
      </c>
      <c r="I11" s="6">
        <v>0.1</v>
      </c>
      <c r="M11">
        <v>0.02</v>
      </c>
      <c r="T11">
        <v>10</v>
      </c>
      <c r="U11">
        <v>1.64</v>
      </c>
      <c r="V11">
        <v>10</v>
      </c>
      <c r="W11">
        <v>10</v>
      </c>
      <c r="Y11" s="2">
        <f>SUM(Q:Q)</f>
        <v>1.6400000000000001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4615</v>
      </c>
      <c r="F12">
        <v>11</v>
      </c>
      <c r="G12">
        <v>11</v>
      </c>
      <c r="K12" s="6">
        <v>0.05</v>
      </c>
      <c r="N12">
        <v>0.06</v>
      </c>
      <c r="O12">
        <v>0.56999999999999995</v>
      </c>
      <c r="P12">
        <v>0.17</v>
      </c>
      <c r="Q12">
        <v>0.35</v>
      </c>
      <c r="S12">
        <v>0.05</v>
      </c>
      <c r="T12">
        <v>11</v>
      </c>
      <c r="U12">
        <v>1.38</v>
      </c>
      <c r="V12">
        <v>13</v>
      </c>
      <c r="W12">
        <v>7</v>
      </c>
      <c r="Y12" s="2">
        <f>SUM(R:R)</f>
        <v>1.3800000000000003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4615</v>
      </c>
      <c r="F13">
        <v>12</v>
      </c>
      <c r="G13">
        <v>12</v>
      </c>
      <c r="H13" s="6">
        <v>0.14000000000000001</v>
      </c>
      <c r="I13" s="6">
        <v>0.04</v>
      </c>
      <c r="K13" s="6">
        <v>7.0000000000000007E-2</v>
      </c>
      <c r="M13">
        <v>0.04</v>
      </c>
      <c r="N13">
        <v>0.04</v>
      </c>
      <c r="O13">
        <v>0.09</v>
      </c>
      <c r="P13">
        <v>0.21</v>
      </c>
      <c r="Q13">
        <v>0.09</v>
      </c>
      <c r="S13">
        <v>0.02</v>
      </c>
      <c r="T13">
        <v>12</v>
      </c>
      <c r="U13">
        <v>4.17</v>
      </c>
      <c r="V13">
        <v>23</v>
      </c>
      <c r="W13">
        <v>18</v>
      </c>
      <c r="Y13" s="2">
        <f>SUM(S:S)</f>
        <v>4.17</v>
      </c>
    </row>
    <row r="14" spans="1:25" x14ac:dyDescent="0.2">
      <c r="D14">
        <f t="shared" si="0"/>
        <v>5</v>
      </c>
      <c r="E14">
        <f t="shared" si="1"/>
        <v>4615</v>
      </c>
      <c r="F14">
        <v>13</v>
      </c>
      <c r="G14">
        <v>13</v>
      </c>
      <c r="H14" s="6">
        <v>0.15</v>
      </c>
      <c r="K14">
        <v>0.31</v>
      </c>
      <c r="N14">
        <v>0.08</v>
      </c>
      <c r="P14">
        <v>0.21</v>
      </c>
      <c r="R14">
        <v>0.02</v>
      </c>
      <c r="S14">
        <v>0.5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4615</v>
      </c>
      <c r="F15">
        <v>14</v>
      </c>
      <c r="G15">
        <v>14</v>
      </c>
      <c r="H15" s="6">
        <v>0.27</v>
      </c>
      <c r="I15" s="6">
        <v>0.09</v>
      </c>
      <c r="J15"/>
      <c r="K15" s="5">
        <v>1.18</v>
      </c>
      <c r="L15"/>
      <c r="M15">
        <v>0.05</v>
      </c>
      <c r="N15">
        <v>0.02</v>
      </c>
      <c r="O15"/>
      <c r="P15">
        <v>0.01</v>
      </c>
      <c r="Q15"/>
      <c r="R15"/>
      <c r="S15">
        <v>0.01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4615</v>
      </c>
      <c r="D16">
        <f t="shared" si="0"/>
        <v>5</v>
      </c>
      <c r="E16">
        <f t="shared" si="1"/>
        <v>4615</v>
      </c>
      <c r="F16">
        <v>15</v>
      </c>
      <c r="G16">
        <v>15</v>
      </c>
      <c r="H16" s="6">
        <v>0.64</v>
      </c>
      <c r="I16" s="6">
        <v>0.25</v>
      </c>
      <c r="K16" s="6">
        <v>0.31</v>
      </c>
      <c r="L16" s="6">
        <v>0.36</v>
      </c>
      <c r="N16">
        <v>0.28999999999999998</v>
      </c>
      <c r="O16">
        <v>0.03</v>
      </c>
      <c r="P16">
        <v>7.0000000000000007E-2</v>
      </c>
      <c r="S16">
        <v>1.08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4615</v>
      </c>
      <c r="F17">
        <v>16</v>
      </c>
      <c r="G17">
        <v>16</v>
      </c>
      <c r="I17" s="6">
        <v>0.09</v>
      </c>
      <c r="K17" s="6">
        <v>0.06</v>
      </c>
      <c r="L17" s="6">
        <v>0.28000000000000003</v>
      </c>
      <c r="N17">
        <v>0.03</v>
      </c>
      <c r="O17">
        <v>0.08</v>
      </c>
      <c r="P17">
        <v>0.04</v>
      </c>
      <c r="S17">
        <v>0.14000000000000001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4615</v>
      </c>
      <c r="F18">
        <v>17</v>
      </c>
      <c r="G18">
        <v>17</v>
      </c>
      <c r="H18" s="6">
        <v>0.59</v>
      </c>
      <c r="I18" s="6">
        <v>0.05</v>
      </c>
      <c r="L18">
        <v>0.42</v>
      </c>
      <c r="M18">
        <v>0.1</v>
      </c>
      <c r="N18">
        <v>0.01</v>
      </c>
      <c r="O18">
        <v>0.08</v>
      </c>
      <c r="P18">
        <v>0.01</v>
      </c>
      <c r="S18">
        <v>0.18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1922</v>
      </c>
      <c r="D19">
        <f t="shared" si="0"/>
        <v>5</v>
      </c>
      <c r="E19">
        <f t="shared" si="1"/>
        <v>4615</v>
      </c>
      <c r="F19">
        <v>18</v>
      </c>
      <c r="G19">
        <v>18</v>
      </c>
      <c r="H19" s="6">
        <v>0.02</v>
      </c>
      <c r="I19" s="6">
        <v>0.17</v>
      </c>
      <c r="L19">
        <v>0.08</v>
      </c>
      <c r="N19">
        <v>0.17</v>
      </c>
      <c r="O19">
        <v>0.06</v>
      </c>
      <c r="P19">
        <v>1.03</v>
      </c>
      <c r="S19">
        <v>0.05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49</v>
      </c>
      <c r="D20">
        <f t="shared" si="0"/>
        <v>5</v>
      </c>
      <c r="E20">
        <f t="shared" si="1"/>
        <v>4615</v>
      </c>
      <c r="F20">
        <v>19</v>
      </c>
      <c r="G20">
        <v>19</v>
      </c>
      <c r="I20" s="6">
        <v>0.22</v>
      </c>
      <c r="N20" s="6">
        <v>0.01</v>
      </c>
      <c r="P20">
        <v>0.21</v>
      </c>
      <c r="R20">
        <v>0.02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51</v>
      </c>
      <c r="D21">
        <f t="shared" si="0"/>
        <v>5</v>
      </c>
      <c r="E21">
        <f t="shared" si="1"/>
        <v>4615</v>
      </c>
      <c r="F21">
        <v>20</v>
      </c>
      <c r="G21">
        <v>20</v>
      </c>
      <c r="H21" s="6">
        <v>0.03</v>
      </c>
      <c r="I21" s="6">
        <v>0.24</v>
      </c>
      <c r="J21" s="6">
        <v>0.02</v>
      </c>
      <c r="K21" s="6">
        <v>0.04</v>
      </c>
      <c r="L21" s="6">
        <v>0.09</v>
      </c>
      <c r="M21" s="6">
        <v>0.03</v>
      </c>
      <c r="N21" s="6">
        <v>0.35</v>
      </c>
      <c r="P21">
        <v>0.02</v>
      </c>
      <c r="S21">
        <v>0.1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52</v>
      </c>
      <c r="D22">
        <f t="shared" si="0"/>
        <v>5</v>
      </c>
      <c r="E22">
        <f t="shared" si="1"/>
        <v>4615</v>
      </c>
      <c r="F22">
        <v>21</v>
      </c>
      <c r="G22">
        <v>21</v>
      </c>
      <c r="H22" s="6">
        <v>0.4</v>
      </c>
      <c r="I22" s="6">
        <v>0.19</v>
      </c>
      <c r="K22">
        <v>7.0000000000000007E-2</v>
      </c>
      <c r="L22" s="6">
        <v>0.03</v>
      </c>
      <c r="M22" s="6">
        <v>0.05</v>
      </c>
      <c r="O22" s="6">
        <v>0.28999999999999998</v>
      </c>
      <c r="P22" s="6">
        <v>0.01</v>
      </c>
      <c r="S22">
        <v>0.16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1</v>
      </c>
      <c r="D23">
        <f t="shared" si="0"/>
        <v>5</v>
      </c>
      <c r="E23">
        <f t="shared" si="1"/>
        <v>4615</v>
      </c>
      <c r="F23">
        <v>22</v>
      </c>
      <c r="G23">
        <v>22</v>
      </c>
      <c r="I23" s="6">
        <v>0.2</v>
      </c>
      <c r="K23">
        <v>0.03</v>
      </c>
      <c r="M23" s="6">
        <v>0.1</v>
      </c>
      <c r="O23" s="6">
        <v>0.04</v>
      </c>
      <c r="P23" s="6">
        <v>0.03</v>
      </c>
      <c r="R23">
        <v>0.14000000000000001</v>
      </c>
      <c r="S23">
        <v>0.26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0</v>
      </c>
      <c r="D24">
        <f t="shared" si="0"/>
        <v>5</v>
      </c>
      <c r="E24">
        <f t="shared" si="1"/>
        <v>4615</v>
      </c>
      <c r="F24">
        <v>23</v>
      </c>
      <c r="G24">
        <v>23</v>
      </c>
      <c r="I24" s="6">
        <v>0.02</v>
      </c>
      <c r="J24" s="6">
        <v>0.24</v>
      </c>
      <c r="K24" s="6">
        <v>0.15</v>
      </c>
      <c r="M24" s="6">
        <v>0.03</v>
      </c>
      <c r="N24" s="6">
        <v>0.03</v>
      </c>
      <c r="O24" s="6">
        <v>0.12</v>
      </c>
      <c r="R24">
        <v>0.01</v>
      </c>
      <c r="S24">
        <v>0.1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53</v>
      </c>
      <c r="D25">
        <f t="shared" si="0"/>
        <v>5</v>
      </c>
      <c r="E25">
        <f t="shared" si="1"/>
        <v>4615</v>
      </c>
      <c r="F25">
        <v>24</v>
      </c>
      <c r="G25">
        <v>24</v>
      </c>
      <c r="I25" s="6">
        <v>0.02</v>
      </c>
      <c r="J25" s="6">
        <v>0.1</v>
      </c>
      <c r="K25" s="6">
        <v>0.21</v>
      </c>
      <c r="M25" s="6">
        <v>0.1</v>
      </c>
      <c r="O25" s="6">
        <v>0.13</v>
      </c>
      <c r="S25">
        <v>0.33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54</v>
      </c>
      <c r="D26">
        <f t="shared" si="0"/>
        <v>5</v>
      </c>
      <c r="E26">
        <f t="shared" si="1"/>
        <v>4615</v>
      </c>
      <c r="F26">
        <v>25</v>
      </c>
      <c r="G26">
        <v>25</v>
      </c>
      <c r="H26" s="6">
        <v>0.17</v>
      </c>
      <c r="I26" s="6">
        <v>0.1</v>
      </c>
      <c r="J26" s="6">
        <v>0.08</v>
      </c>
      <c r="K26" s="6">
        <v>0.36</v>
      </c>
      <c r="M26" s="6">
        <v>0.2</v>
      </c>
      <c r="N26" s="6">
        <v>0.19</v>
      </c>
      <c r="O26" s="6">
        <v>0.02</v>
      </c>
      <c r="P26" s="6">
        <v>0.4</v>
      </c>
      <c r="S26">
        <v>0.05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D27">
        <f t="shared" si="0"/>
        <v>5</v>
      </c>
      <c r="E27">
        <f t="shared" si="1"/>
        <v>4615</v>
      </c>
      <c r="F27">
        <v>26</v>
      </c>
      <c r="G27">
        <v>26</v>
      </c>
      <c r="H27" s="6">
        <v>0.23</v>
      </c>
      <c r="I27" s="6">
        <v>0.11</v>
      </c>
      <c r="J27" s="6">
        <v>0.04</v>
      </c>
      <c r="K27" s="6">
        <v>0.13</v>
      </c>
      <c r="M27" s="6">
        <v>0.1</v>
      </c>
      <c r="N27" s="6">
        <v>0.2</v>
      </c>
      <c r="O27" s="6">
        <v>0.32</v>
      </c>
      <c r="P27" s="6">
        <v>0.61</v>
      </c>
      <c r="R27">
        <v>0.02</v>
      </c>
      <c r="S27">
        <v>0.11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 t="s">
        <v>55</v>
      </c>
      <c r="D28">
        <f t="shared" si="0"/>
        <v>5</v>
      </c>
      <c r="E28">
        <f t="shared" si="1"/>
        <v>4615</v>
      </c>
      <c r="F28">
        <v>27</v>
      </c>
      <c r="G28">
        <v>27</v>
      </c>
      <c r="H28" s="6">
        <v>0.43</v>
      </c>
      <c r="I28" s="6">
        <v>0.13</v>
      </c>
      <c r="J28" s="6">
        <v>0.01</v>
      </c>
      <c r="K28" s="6">
        <v>0.14000000000000001</v>
      </c>
      <c r="M28" s="6">
        <v>0.05</v>
      </c>
      <c r="O28" s="6">
        <v>0.05</v>
      </c>
      <c r="P28" s="6">
        <v>0.03</v>
      </c>
      <c r="Q28" s="6">
        <v>0.12</v>
      </c>
      <c r="S28">
        <v>0.13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219</v>
      </c>
      <c r="D29">
        <f t="shared" si="0"/>
        <v>5</v>
      </c>
      <c r="E29">
        <f t="shared" si="1"/>
        <v>4615</v>
      </c>
      <c r="F29">
        <v>28</v>
      </c>
      <c r="G29">
        <v>28</v>
      </c>
      <c r="H29" s="6">
        <v>0.16</v>
      </c>
      <c r="K29" s="6">
        <v>0.01</v>
      </c>
      <c r="M29" s="6">
        <v>7.0000000000000007E-2</v>
      </c>
      <c r="Q29">
        <v>0.1</v>
      </c>
      <c r="S29">
        <v>0.16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168</v>
      </c>
      <c r="D30">
        <f t="shared" si="0"/>
        <v>5</v>
      </c>
      <c r="E30">
        <f t="shared" si="1"/>
        <v>4615</v>
      </c>
      <c r="F30">
        <v>29</v>
      </c>
      <c r="G30">
        <v>29</v>
      </c>
      <c r="H30" s="6">
        <v>0.41</v>
      </c>
      <c r="K30" s="6">
        <v>0.03</v>
      </c>
      <c r="M30" s="6">
        <v>0.22</v>
      </c>
      <c r="O30">
        <v>0.6</v>
      </c>
      <c r="P30">
        <v>0.01</v>
      </c>
      <c r="Q30">
        <v>0.2</v>
      </c>
      <c r="R30">
        <v>0.01</v>
      </c>
      <c r="S30">
        <v>0.5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56</v>
      </c>
      <c r="D31">
        <f t="shared" si="0"/>
        <v>5</v>
      </c>
      <c r="E31">
        <f t="shared" si="1"/>
        <v>4615</v>
      </c>
      <c r="F31">
        <v>30</v>
      </c>
      <c r="G31">
        <v>30</v>
      </c>
      <c r="H31" s="6">
        <v>0.09</v>
      </c>
      <c r="J31" s="6">
        <v>0.03</v>
      </c>
      <c r="K31" s="6">
        <v>0.1</v>
      </c>
      <c r="M31" s="6">
        <v>0.28999999999999998</v>
      </c>
      <c r="O31">
        <v>0.39</v>
      </c>
      <c r="P31">
        <v>7.0000000000000007E-2</v>
      </c>
      <c r="Q31">
        <v>0.05</v>
      </c>
      <c r="R31">
        <v>0.08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57</v>
      </c>
      <c r="D32">
        <f t="shared" si="0"/>
        <v>5</v>
      </c>
      <c r="E32">
        <f t="shared" si="1"/>
        <v>4615</v>
      </c>
      <c r="F32">
        <v>31</v>
      </c>
      <c r="G32">
        <v>31</v>
      </c>
      <c r="H32" s="6">
        <v>0.06</v>
      </c>
      <c r="J32" s="6">
        <v>0.22</v>
      </c>
      <c r="K32" s="6"/>
      <c r="N32">
        <v>0.18</v>
      </c>
      <c r="O32">
        <v>0.03</v>
      </c>
      <c r="Q32">
        <v>0.15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  <c r="B35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User</cp:lastModifiedBy>
  <dcterms:created xsi:type="dcterms:W3CDTF">2016-09-30T11:06:39Z</dcterms:created>
  <dcterms:modified xsi:type="dcterms:W3CDTF">2018-03-22T09:13:19Z</dcterms:modified>
</cp:coreProperties>
</file>