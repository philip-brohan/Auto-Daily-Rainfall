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780" yWindow="465" windowWidth="28020" windowHeight="17535"/>
  </bookViews>
  <sheets>
    <sheet name="Form 5 template" sheetId="1" r:id="rId1"/>
  </sheets>
  <calcPr calcId="162913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<sst xmlns="http://schemas.openxmlformats.org/spreadsheetml/2006/main" count="144" uniqueCount="52">
  <si>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</si>
  <si>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</si>
  <si>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</si>
  <si>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</si>
  <si>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</si>
  <si>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</si>
  <si>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</si>
  <si>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</si>
  <si>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</si>
  <si>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</si>
  <si>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</si>
  <si>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</si>
  <si>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</si>
  <si>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</si>
  <si>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</si>
  <si>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</si>
  <si>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</si>
  <si>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</si>
  <si>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</si>
  <si>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</si>
  <si>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</si>
  <si>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</si>
  <si>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</si>
  <si>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</si>
  <si>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</si>
  <si>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</si>
  <si>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</si>
  <si>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</si>
  <si>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</si>
  <si>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</si>
  <si>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</si>
  <si>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</si>
  <si>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</si>
  <si>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</si>
  <si>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</si>
  <si>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</si>
  <si>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</si>
  <si>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</si>
  <si>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</si>
  <si>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</si>
  <si>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</si>
  <si>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</si>
  <si>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</si>
  <si>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</si>
  <si>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</si>
  <si>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</si>
  <si>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</si>
  <si>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</si>
  <si>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</si>
  <si>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Bessborough Piltown</t>
  </si>
  <si>
    <t>Kilkenny</t>
  </si>
  <si>
    <t>Good Condition , multiday sums recorded on Jan 14 and Dec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</si>
</sst>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"/>
  <sheetViews>
    <sheetView tabSelected="1" topLeftCell="P1" zoomScale="90" zoomScaleNormal="90" zoomScalePageLayoutView="90" workbookViewId="0">
      <selection activeCell="V18" sqref="V18"/>
    </sheetView>
  </sheetViews>
  <sheetFormatPr defaultColWidth="8.85546875" defaultRowHeight="15" x14ac:dyDescent="0.25"/>
  <cols>
    <col min="1" max="1" width="22.7109375" customWidth="1"/>
    <col min="2" max="2" width="16.42578125" style="3" customWidth="1"/>
    <col min="5" max="5" width="12.140625" customWidth="1"/>
    <col min="6" max="6" width="13.140625" customWidth="1"/>
  </cols>
  <sheetData>
    <row r="1" spans="1:26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6" x14ac:dyDescent="0.25">
      <c r="A2" s="1" t="s">
        <v>1</v>
      </c>
      <c r="B2" s="3">
        <v>3685</v>
      </c>
      <c r="D2">
        <f>($B$1)</f>
        <v>5</v>
      </c>
      <c r="E2">
        <f>($B$2)</f>
        <v>3685</v>
      </c>
      <c r="F2">
        <v>1</v>
      </c>
      <c r="G2">
        <v>1</v>
      </c>
      <c r="H2">
        <v>0.03</v>
      </c>
      <c r="K2">
        <v>0.17</v>
      </c>
      <c r="L2">
        <v>0.08</v>
      </c>
      <c r="N2">
        <v>0.27</v>
      </c>
      <c r="Q2">
        <v>0.01</v>
      </c>
      <c r="R2">
        <v>0.03</v>
      </c>
      <c r="S2">
        <v>0.19</v>
      </c>
      <c r="T2">
        <v>1</v>
      </c>
      <c r="U2">
        <v>4.0599999999999996</v>
      </c>
      <c r="Y2" s="2">
        <f>SUM(H2:H32)</f>
        <v>4.0599999999999996</v>
      </c>
    </row>
    <row r="3" spans="1:26" x14ac:dyDescent="0.25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3685</v>
      </c>
      <c r="F3">
        <v>2</v>
      </c>
      <c r="G3">
        <v>2</v>
      </c>
      <c r="H3">
        <v>0.02</v>
      </c>
      <c r="L3">
        <v>0.08</v>
      </c>
      <c r="N3">
        <v>0.09</v>
      </c>
      <c r="O3">
        <v>0.01</v>
      </c>
      <c r="P3">
        <v>0.03</v>
      </c>
      <c r="R3">
        <v>0.03</v>
      </c>
      <c r="S3">
        <v>0.01</v>
      </c>
      <c r="T3">
        <v>2</v>
      </c>
      <c r="U3">
        <v>0.46</v>
      </c>
      <c r="Y3" s="2">
        <f>SUM(I:I)</f>
        <v>0.46</v>
      </c>
      <c r="Z3" s="6"/>
    </row>
    <row r="4" spans="1:26" x14ac:dyDescent="0.25">
      <c r="A4" s="1" t="s">
        <v>3</v>
      </c>
      <c r="B4" s="3" t="s">
        <v>48</v>
      </c>
      <c r="D4">
        <f t="shared" si="0"/>
        <v>5</v>
      </c>
      <c r="E4">
        <f t="shared" si="1"/>
        <v>3685</v>
      </c>
      <c r="F4">
        <v>3</v>
      </c>
      <c r="G4">
        <v>3</v>
      </c>
      <c r="K4">
        <v>0.05</v>
      </c>
      <c r="M4">
        <v>0.08</v>
      </c>
      <c r="N4">
        <v>0.51</v>
      </c>
      <c r="O4">
        <v>0.03</v>
      </c>
      <c r="R4">
        <v>0.11</v>
      </c>
      <c r="T4">
        <v>3</v>
      </c>
      <c r="U4">
        <v>2.23</v>
      </c>
      <c r="Y4" s="2">
        <f>SUM(J:J)</f>
        <v>2.23</v>
      </c>
    </row>
    <row r="5" spans="1:26" x14ac:dyDescent="0.25">
      <c r="A5" s="1" t="s">
        <v>4</v>
      </c>
      <c r="D5">
        <f t="shared" si="0"/>
        <v>5</v>
      </c>
      <c r="E5">
        <f t="shared" si="1"/>
        <v>3685</v>
      </c>
      <c r="F5">
        <v>4</v>
      </c>
      <c r="G5">
        <v>4</v>
      </c>
      <c r="H5">
        <v>0.18</v>
      </c>
      <c r="N5">
        <v>0.03</v>
      </c>
      <c r="O5">
        <v>0.01</v>
      </c>
      <c r="T5">
        <v>4</v>
      </c>
      <c r="U5">
        <v>1.61</v>
      </c>
      <c r="Y5" s="2">
        <f>SUM(K:K)</f>
        <v>1.6100000000000003</v>
      </c>
    </row>
    <row r="6" spans="1:26" x14ac:dyDescent="0.25">
      <c r="A6" s="1" t="s">
        <v>5</v>
      </c>
      <c r="D6">
        <f t="shared" si="0"/>
        <v>5</v>
      </c>
      <c r="E6">
        <f t="shared" si="1"/>
        <v>3685</v>
      </c>
      <c r="F6">
        <v>5</v>
      </c>
      <c r="G6">
        <v>5</v>
      </c>
      <c r="H6">
        <v>0.26</v>
      </c>
      <c r="I6">
        <v>0.23</v>
      </c>
      <c r="J6">
        <v>0.02</v>
      </c>
      <c r="N6">
        <v>7.0000000000000007E-2</v>
      </c>
      <c r="P6">
        <v>0.13</v>
      </c>
      <c r="T6">
        <v>5</v>
      </c>
      <c r="U6">
        <v>3.8</v>
      </c>
      <c r="Y6" s="2">
        <f>SUM(L:L)</f>
        <v>3.7999999999999985</v>
      </c>
      <c r="Z6" s="6"/>
    </row>
    <row r="7" spans="1:26" x14ac:dyDescent="0.25">
      <c r="A7" s="1" t="s">
        <v>6</v>
      </c>
      <c r="D7">
        <f t="shared" si="0"/>
        <v>5</v>
      </c>
      <c r="E7">
        <f t="shared" si="1"/>
        <v>3685</v>
      </c>
      <c r="F7">
        <v>6</v>
      </c>
      <c r="G7">
        <v>6</v>
      </c>
      <c r="H7">
        <v>0.63</v>
      </c>
      <c r="I7">
        <v>0.03</v>
      </c>
      <c r="J7">
        <v>0.01</v>
      </c>
      <c r="K7">
        <v>0.09</v>
      </c>
      <c r="L7">
        <v>0.11</v>
      </c>
      <c r="N7">
        <v>0.1</v>
      </c>
      <c r="P7">
        <v>0.12</v>
      </c>
      <c r="Q7">
        <v>0.14000000000000001</v>
      </c>
      <c r="T7">
        <v>6</v>
      </c>
      <c r="U7">
        <v>1.95</v>
      </c>
      <c r="Y7" s="2">
        <f>SUM(M:M)</f>
        <v>1.9499999999999997</v>
      </c>
    </row>
    <row r="8" spans="1:26" x14ac:dyDescent="0.25">
      <c r="A8" s="1" t="s">
        <v>7</v>
      </c>
      <c r="D8">
        <f t="shared" si="0"/>
        <v>5</v>
      </c>
      <c r="E8">
        <f t="shared" si="1"/>
        <v>3685</v>
      </c>
      <c r="F8">
        <v>7</v>
      </c>
      <c r="G8">
        <v>7</v>
      </c>
      <c r="H8">
        <v>0.01</v>
      </c>
      <c r="K8">
        <v>0.03</v>
      </c>
      <c r="L8">
        <v>0.04</v>
      </c>
      <c r="N8">
        <v>0.04</v>
      </c>
      <c r="P8">
        <v>0.18</v>
      </c>
      <c r="Q8">
        <v>0.79</v>
      </c>
      <c r="T8">
        <v>7</v>
      </c>
      <c r="U8">
        <v>3.59</v>
      </c>
      <c r="Y8" s="2">
        <f>SUM(N:N)</f>
        <v>3.589999999999999</v>
      </c>
    </row>
    <row r="9" spans="1:26" x14ac:dyDescent="0.25">
      <c r="A9" s="1" t="s">
        <v>8</v>
      </c>
      <c r="B9" s="3">
        <v>1932</v>
      </c>
      <c r="D9">
        <f t="shared" si="0"/>
        <v>5</v>
      </c>
      <c r="E9">
        <f t="shared" si="1"/>
        <v>3685</v>
      </c>
      <c r="F9">
        <v>8</v>
      </c>
      <c r="G9">
        <v>8</v>
      </c>
      <c r="H9">
        <v>0.03</v>
      </c>
      <c r="J9">
        <v>0.12</v>
      </c>
      <c r="L9">
        <v>0.37</v>
      </c>
      <c r="P9">
        <v>0.16</v>
      </c>
      <c r="T9">
        <v>8</v>
      </c>
      <c r="U9">
        <v>3.09</v>
      </c>
      <c r="Y9" s="2">
        <f>SUM(O:O)</f>
        <v>3.09</v>
      </c>
    </row>
    <row r="10" spans="1:26" x14ac:dyDescent="0.25">
      <c r="A10" s="1" t="s">
        <v>9</v>
      </c>
      <c r="B10" s="3">
        <v>1</v>
      </c>
      <c r="D10">
        <f t="shared" si="0"/>
        <v>5</v>
      </c>
      <c r="E10">
        <f t="shared" si="1"/>
        <v>3685</v>
      </c>
      <c r="F10">
        <v>9</v>
      </c>
      <c r="G10">
        <v>9</v>
      </c>
      <c r="H10">
        <v>0.51</v>
      </c>
      <c r="K10">
        <v>0.11</v>
      </c>
      <c r="L10">
        <v>0.01</v>
      </c>
      <c r="M10">
        <v>0.04</v>
      </c>
      <c r="P10">
        <v>0.01</v>
      </c>
      <c r="Q10">
        <v>0.02</v>
      </c>
      <c r="R10">
        <v>1.05</v>
      </c>
      <c r="T10">
        <v>9</v>
      </c>
      <c r="U10">
        <v>1.67</v>
      </c>
      <c r="Y10" s="2">
        <f>SUM(P:P)</f>
        <v>1.67</v>
      </c>
      <c r="Z10" s="6"/>
    </row>
    <row r="11" spans="1:26" x14ac:dyDescent="0.25">
      <c r="A11" s="1" t="s">
        <v>10</v>
      </c>
      <c r="B11" s="3">
        <v>1</v>
      </c>
      <c r="D11">
        <f t="shared" si="0"/>
        <v>5</v>
      </c>
      <c r="E11">
        <f t="shared" si="1"/>
        <v>3685</v>
      </c>
      <c r="F11">
        <v>10</v>
      </c>
      <c r="G11">
        <v>10</v>
      </c>
      <c r="H11">
        <v>0.06</v>
      </c>
      <c r="I11">
        <v>0.05</v>
      </c>
      <c r="K11">
        <v>0.04</v>
      </c>
      <c r="L11">
        <v>0.04</v>
      </c>
      <c r="N11">
        <v>0.01</v>
      </c>
      <c r="O11">
        <v>0.01</v>
      </c>
      <c r="P11">
        <v>0.06</v>
      </c>
      <c r="T11">
        <v>10</v>
      </c>
      <c r="U11">
        <v>4.1500000000000004</v>
      </c>
      <c r="Y11" s="2">
        <f>SUM(Q:Q)</f>
        <v>4.1499999999999995</v>
      </c>
    </row>
    <row r="12" spans="1:26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3685</v>
      </c>
      <c r="F12">
        <v>11</v>
      </c>
      <c r="G12">
        <v>11</v>
      </c>
      <c r="H12">
        <v>0.01</v>
      </c>
      <c r="I12">
        <v>0.12</v>
      </c>
      <c r="K12">
        <v>0.03</v>
      </c>
      <c r="L12">
        <v>0.3</v>
      </c>
      <c r="P12">
        <v>0.01</v>
      </c>
      <c r="S12">
        <v>0.08</v>
      </c>
      <c r="T12">
        <v>11</v>
      </c>
      <c r="U12">
        <v>2.75</v>
      </c>
      <c r="Y12" s="2">
        <f>SUM(R:R)</f>
        <v>2.7499999999999996</v>
      </c>
    </row>
    <row r="13" spans="1:26" x14ac:dyDescent="0.25">
      <c r="A13" s="1" t="s">
        <v>12</v>
      </c>
      <c r="B13" s="3" t="s">
        <v>51</v>
      </c>
      <c r="D13">
        <f t="shared" si="0"/>
        <v>5</v>
      </c>
      <c r="E13">
        <f t="shared" si="1"/>
        <v>3685</v>
      </c>
      <c r="F13">
        <v>12</v>
      </c>
      <c r="G13">
        <v>12</v>
      </c>
      <c r="H13">
        <v>0.76</v>
      </c>
      <c r="I13">
        <v>0.01</v>
      </c>
      <c r="K13">
        <v>0.06</v>
      </c>
      <c r="L13">
        <v>0.32</v>
      </c>
      <c r="O13">
        <v>0.24</v>
      </c>
      <c r="P13">
        <v>0.09</v>
      </c>
      <c r="Q13">
        <v>0.04</v>
      </c>
      <c r="S13">
        <v>0.04</v>
      </c>
      <c r="T13">
        <v>12</v>
      </c>
      <c r="U13">
        <v>6.46</v>
      </c>
      <c r="Y13" s="2">
        <f>SUM(S:S)</f>
        <v>6.46</v>
      </c>
    </row>
    <row r="14" spans="1:26" x14ac:dyDescent="0.25">
      <c r="D14">
        <f t="shared" si="0"/>
        <v>5</v>
      </c>
      <c r="E14">
        <f t="shared" si="1"/>
        <v>3685</v>
      </c>
      <c r="F14">
        <v>13</v>
      </c>
      <c r="G14">
        <v>13</v>
      </c>
      <c r="H14" s="5"/>
      <c r="K14">
        <v>0.28000000000000003</v>
      </c>
      <c r="N14">
        <v>0.8</v>
      </c>
      <c r="O14">
        <v>0.73</v>
      </c>
      <c r="Q14">
        <v>0.04</v>
      </c>
      <c r="S14" s="7"/>
      <c r="T14" t="s">
        <v>30</v>
      </c>
      <c r="U14" t="s">
        <v>30</v>
      </c>
      <c r="V14" t="s">
        <v>30</v>
      </c>
      <c r="W14" t="s">
        <v>30</v>
      </c>
    </row>
    <row r="15" spans="1:26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3685</v>
      </c>
      <c r="F15">
        <v>14</v>
      </c>
      <c r="G15">
        <v>14</v>
      </c>
      <c r="H15" s="3">
        <v>0.39</v>
      </c>
      <c r="I15"/>
      <c r="J15"/>
      <c r="K15">
        <v>0.02</v>
      </c>
      <c r="L15"/>
      <c r="M15"/>
      <c r="N15"/>
      <c r="O15">
        <v>0.04</v>
      </c>
      <c r="P15"/>
      <c r="Q15"/>
      <c r="R15">
        <v>0.02</v>
      </c>
      <c r="S15" s="3">
        <v>0.17</v>
      </c>
      <c r="T15" t="s">
        <v>30</v>
      </c>
      <c r="U15" t="s">
        <v>30</v>
      </c>
      <c r="V15" t="s">
        <v>30</v>
      </c>
      <c r="W15" t="s">
        <v>30</v>
      </c>
    </row>
    <row r="16" spans="1:26" x14ac:dyDescent="0.25">
      <c r="A16" s="1" t="s">
        <v>13</v>
      </c>
      <c r="B16" s="3">
        <v>3685</v>
      </c>
      <c r="D16">
        <f t="shared" si="0"/>
        <v>5</v>
      </c>
      <c r="E16">
        <f t="shared" si="1"/>
        <v>3685</v>
      </c>
      <c r="F16">
        <v>15</v>
      </c>
      <c r="G16">
        <v>15</v>
      </c>
      <c r="H16">
        <v>0.16</v>
      </c>
      <c r="L16">
        <v>0.01</v>
      </c>
      <c r="N16">
        <v>0.11</v>
      </c>
      <c r="P16">
        <v>0.01</v>
      </c>
      <c r="R16">
        <v>0.09</v>
      </c>
      <c r="S16">
        <v>0.02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3685</v>
      </c>
      <c r="F17">
        <v>16</v>
      </c>
      <c r="G17">
        <v>16</v>
      </c>
      <c r="H17">
        <v>0.61</v>
      </c>
      <c r="L17">
        <v>0.04</v>
      </c>
      <c r="N17">
        <v>0.32</v>
      </c>
      <c r="O17">
        <v>0.01</v>
      </c>
      <c r="S17">
        <v>0.86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 t="s">
        <v>48</v>
      </c>
      <c r="D18">
        <f t="shared" si="0"/>
        <v>5</v>
      </c>
      <c r="E18">
        <f t="shared" si="1"/>
        <v>3685</v>
      </c>
      <c r="F18">
        <v>17</v>
      </c>
      <c r="G18">
        <v>17</v>
      </c>
      <c r="H18">
        <v>0.05</v>
      </c>
      <c r="L18">
        <v>0.87</v>
      </c>
      <c r="Q18">
        <v>0.05</v>
      </c>
      <c r="R18">
        <v>0.01</v>
      </c>
      <c r="S18">
        <v>0.23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1932</v>
      </c>
      <c r="D19">
        <f t="shared" si="0"/>
        <v>5</v>
      </c>
      <c r="E19">
        <f t="shared" si="1"/>
        <v>3685</v>
      </c>
      <c r="F19">
        <v>18</v>
      </c>
      <c r="G19">
        <v>18</v>
      </c>
      <c r="H19">
        <v>0.05</v>
      </c>
      <c r="L19">
        <v>0.28000000000000003</v>
      </c>
      <c r="N19">
        <v>0.01</v>
      </c>
      <c r="P19">
        <v>0.01</v>
      </c>
      <c r="R19">
        <v>0.37</v>
      </c>
      <c r="S19">
        <v>1.07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s="3" t="s">
        <v>49</v>
      </c>
      <c r="D20">
        <f t="shared" si="0"/>
        <v>5</v>
      </c>
      <c r="E20">
        <f t="shared" si="1"/>
        <v>3685</v>
      </c>
      <c r="F20">
        <v>19</v>
      </c>
      <c r="G20">
        <v>19</v>
      </c>
      <c r="K20">
        <v>0.04</v>
      </c>
      <c r="L20">
        <v>0.34</v>
      </c>
      <c r="Q20">
        <v>0.39</v>
      </c>
      <c r="R20">
        <v>0.01</v>
      </c>
      <c r="S20">
        <v>1.01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s="3" t="s">
        <v>50</v>
      </c>
      <c r="D21">
        <f t="shared" si="0"/>
        <v>5</v>
      </c>
      <c r="E21">
        <f t="shared" si="1"/>
        <v>3685</v>
      </c>
      <c r="F21">
        <v>20</v>
      </c>
      <c r="G21">
        <v>20</v>
      </c>
      <c r="H21">
        <v>0.02</v>
      </c>
      <c r="K21">
        <v>0.01</v>
      </c>
      <c r="L21">
        <v>0.09</v>
      </c>
      <c r="O21">
        <v>0.13</v>
      </c>
      <c r="Q21">
        <v>0.26</v>
      </c>
      <c r="S21">
        <v>0.26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D22">
        <f t="shared" si="0"/>
        <v>5</v>
      </c>
      <c r="E22">
        <f t="shared" si="1"/>
        <v>3685</v>
      </c>
      <c r="F22">
        <v>21</v>
      </c>
      <c r="G22">
        <v>21</v>
      </c>
      <c r="H22">
        <v>7.0000000000000007E-2</v>
      </c>
      <c r="J22">
        <v>0.06</v>
      </c>
      <c r="K22">
        <v>0.05</v>
      </c>
      <c r="L22">
        <v>0.02</v>
      </c>
      <c r="N22">
        <v>0.05</v>
      </c>
      <c r="O22">
        <v>1.06</v>
      </c>
      <c r="Q22">
        <v>0.71</v>
      </c>
      <c r="R22">
        <v>0.15</v>
      </c>
      <c r="S22">
        <v>0.13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D23">
        <f t="shared" si="0"/>
        <v>5</v>
      </c>
      <c r="E23">
        <f t="shared" si="1"/>
        <v>3685</v>
      </c>
      <c r="F23">
        <v>22</v>
      </c>
      <c r="G23">
        <v>22</v>
      </c>
      <c r="H23">
        <v>0.01</v>
      </c>
      <c r="L23">
        <v>0.01</v>
      </c>
      <c r="P23">
        <v>0.02</v>
      </c>
      <c r="Q23">
        <v>0.1</v>
      </c>
      <c r="R23">
        <v>0.19</v>
      </c>
      <c r="S23">
        <v>1.1100000000000001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D24">
        <f t="shared" si="0"/>
        <v>5</v>
      </c>
      <c r="E24">
        <f t="shared" si="1"/>
        <v>3685</v>
      </c>
      <c r="F24">
        <v>23</v>
      </c>
      <c r="G24">
        <v>23</v>
      </c>
      <c r="H24">
        <v>0.05</v>
      </c>
      <c r="J24">
        <v>0.22</v>
      </c>
      <c r="L24">
        <v>0.01</v>
      </c>
      <c r="N24">
        <v>0.08</v>
      </c>
      <c r="O24">
        <v>0.1</v>
      </c>
      <c r="Q24">
        <v>0.14000000000000001</v>
      </c>
      <c r="R24">
        <v>0.02</v>
      </c>
      <c r="S24">
        <v>0.02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 t="s">
        <v>30</v>
      </c>
      <c r="D25">
        <f t="shared" si="0"/>
        <v>5</v>
      </c>
      <c r="E25">
        <f t="shared" si="1"/>
        <v>3685</v>
      </c>
      <c r="F25">
        <v>24</v>
      </c>
      <c r="G25">
        <v>24</v>
      </c>
      <c r="H25">
        <v>0.15</v>
      </c>
      <c r="J25">
        <v>0.04</v>
      </c>
      <c r="L25">
        <v>0.01</v>
      </c>
      <c r="N25">
        <v>0.13</v>
      </c>
      <c r="P25">
        <v>0.04</v>
      </c>
      <c r="Q25">
        <v>0.02</v>
      </c>
      <c r="R25">
        <v>0.09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3" t="s">
        <v>30</v>
      </c>
      <c r="D26">
        <f t="shared" si="0"/>
        <v>5</v>
      </c>
      <c r="E26">
        <f t="shared" si="1"/>
        <v>3685</v>
      </c>
      <c r="F26">
        <v>25</v>
      </c>
      <c r="G26">
        <v>25</v>
      </c>
      <c r="J26">
        <v>0.97</v>
      </c>
      <c r="K26">
        <v>7.0000000000000007E-2</v>
      </c>
      <c r="N26">
        <v>0.05</v>
      </c>
      <c r="Q26">
        <v>0.3</v>
      </c>
      <c r="R26">
        <v>0.1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D27">
        <f t="shared" si="0"/>
        <v>5</v>
      </c>
      <c r="E27">
        <f t="shared" si="1"/>
        <v>3685</v>
      </c>
      <c r="F27">
        <v>26</v>
      </c>
      <c r="G27">
        <v>26</v>
      </c>
      <c r="I27">
        <v>0.02</v>
      </c>
      <c r="J27">
        <v>0.34</v>
      </c>
      <c r="K27">
        <v>0.05</v>
      </c>
      <c r="L27">
        <v>0.17</v>
      </c>
      <c r="N27">
        <v>0.23</v>
      </c>
      <c r="P27">
        <v>0.09</v>
      </c>
      <c r="Q27">
        <v>0.01</v>
      </c>
      <c r="R27">
        <v>0.13</v>
      </c>
      <c r="S27">
        <v>0.23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>
        <v>35.82</v>
      </c>
      <c r="D28">
        <f t="shared" si="0"/>
        <v>5</v>
      </c>
      <c r="E28">
        <f t="shared" si="1"/>
        <v>3685</v>
      </c>
      <c r="F28">
        <v>27</v>
      </c>
      <c r="G28">
        <v>27</v>
      </c>
      <c r="K28">
        <v>0.18</v>
      </c>
      <c r="L28">
        <v>0.01</v>
      </c>
      <c r="M28">
        <v>0.41</v>
      </c>
      <c r="N28">
        <v>0.01</v>
      </c>
      <c r="Q28">
        <v>0.92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D29">
        <f t="shared" si="0"/>
        <v>5</v>
      </c>
      <c r="E29">
        <f t="shared" si="1"/>
        <v>3685</v>
      </c>
      <c r="F29">
        <v>28</v>
      </c>
      <c r="G29">
        <v>28</v>
      </c>
      <c r="J29">
        <v>0.14000000000000001</v>
      </c>
      <c r="K29">
        <v>0.04</v>
      </c>
      <c r="L29">
        <v>0.11</v>
      </c>
      <c r="M29">
        <v>0.01</v>
      </c>
      <c r="N29">
        <v>0.4</v>
      </c>
      <c r="O29">
        <v>0.47</v>
      </c>
      <c r="Q29">
        <v>0.03</v>
      </c>
      <c r="R29">
        <v>0.01</v>
      </c>
      <c r="S29">
        <v>0.25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D30">
        <f t="shared" si="0"/>
        <v>5</v>
      </c>
      <c r="E30">
        <f t="shared" si="1"/>
        <v>3685</v>
      </c>
      <c r="F30">
        <v>29</v>
      </c>
      <c r="G30">
        <v>29</v>
      </c>
      <c r="J30">
        <v>0.2</v>
      </c>
      <c r="K30">
        <v>0.14000000000000001</v>
      </c>
      <c r="L30">
        <v>0.14000000000000001</v>
      </c>
      <c r="M30">
        <v>0.82</v>
      </c>
      <c r="N30">
        <v>0.11</v>
      </c>
      <c r="O30">
        <v>0.21</v>
      </c>
      <c r="P30">
        <v>0.67</v>
      </c>
      <c r="Q30">
        <v>0.17</v>
      </c>
      <c r="R30">
        <v>0.19</v>
      </c>
      <c r="S30">
        <v>0.16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s="3" t="s">
        <v>30</v>
      </c>
      <c r="D31">
        <f t="shared" si="0"/>
        <v>5</v>
      </c>
      <c r="E31">
        <f t="shared" si="1"/>
        <v>3685</v>
      </c>
      <c r="F31">
        <v>30</v>
      </c>
      <c r="G31">
        <v>30</v>
      </c>
      <c r="J31">
        <v>0.11</v>
      </c>
      <c r="K31">
        <v>0.15</v>
      </c>
      <c r="L31">
        <v>0.24</v>
      </c>
      <c r="M31">
        <v>0.59</v>
      </c>
      <c r="N31">
        <v>0.12</v>
      </c>
      <c r="O31">
        <v>0.04</v>
      </c>
      <c r="P31">
        <v>0.04</v>
      </c>
      <c r="Q31">
        <v>0.01</v>
      </c>
      <c r="R31">
        <v>0.15</v>
      </c>
      <c r="S31">
        <v>0.38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30</v>
      </c>
      <c r="D32">
        <f t="shared" si="0"/>
        <v>5</v>
      </c>
      <c r="E32">
        <f t="shared" si="1"/>
        <v>3685</v>
      </c>
      <c r="F32">
        <v>31</v>
      </c>
      <c r="G32">
        <v>31</v>
      </c>
      <c r="L32">
        <v>0.1</v>
      </c>
      <c r="N32">
        <v>0.05</v>
      </c>
      <c r="S32">
        <v>0.24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25">
      <c r="A33" s="1" t="s">
        <v>44</v>
      </c>
      <c r="B33" s="3" t="s">
        <v>30</v>
      </c>
    </row>
    <row r="34" spans="1:2" x14ac:dyDescent="0.25">
      <c r="A34" s="1" t="s">
        <v>45</v>
      </c>
      <c r="B34" s="3" t="s">
        <v>30</v>
      </c>
    </row>
    <row r="35" spans="1:2" x14ac:dyDescent="0.25">
      <c r="A35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IT Services</cp:lastModifiedBy>
  <dcterms:created xsi:type="dcterms:W3CDTF">2016-09-30T11:06:39Z</dcterms:created>
  <dcterms:modified xsi:type="dcterms:W3CDTF">2018-04-08T13:19:48Z</dcterms:modified>
</cp:coreProperties>
</file>