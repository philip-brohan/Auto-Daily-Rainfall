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720" yWindow="945" windowWidth="28035" windowHeight="11730"/>
  </bookViews>
  <sheets>
    <sheet name="4668" sheetId="1" r:id="rId1"/>
  </sheets>
  <calcPr calcId="162913"/>
</workbook>
</file>

<file path=xl/calcChain.xml><?xml version="1.0" encoding="utf-8"?>
<calcChain xmlns="http://schemas.openxmlformats.org/spreadsheetml/2006/main">
  <c r="Y2" i="1" l="1"/>
  <c r="B20" i="1"/>
  <c r="Y13" i="1" l="1"/>
  <c r="Y12" i="1"/>
  <c r="Y11" i="1"/>
  <c r="Y10" i="1"/>
  <c r="Y9" i="1"/>
  <c r="Y8" i="1"/>
  <c r="Y7" i="1"/>
  <c r="Y6" i="1"/>
  <c r="Y5" i="1"/>
  <c r="Y4" i="1"/>
  <c r="Y3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<sst xmlns="http://schemas.openxmlformats.org/spreadsheetml/2006/main" count="142" uniqueCount="57">
  <si>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</si>
  <si>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</si>
  <si>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</si>
  <si>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</si>
  <si>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</si>
  <si>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</si>
  <si>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</si>
  <si>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</si>
  <si>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</si>
  <si>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</si>
  <si>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</si>
  <si>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</si>
  <si>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</si>
  <si>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</si>
  <si>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</si>
  <si>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</si>
  <si>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</si>
  <si>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</si>
  <si>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</si>
  <si>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</si>
  <si>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</si>
  <si>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</si>
  <si>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</si>
  <si>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</si>
  <si>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</si>
  <si>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</si>
  <si>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</si>
  <si>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</si>
  <si>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</si>
  <si>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</si>
  <si>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</si>
  <si>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</si>
  <si>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</si>
  <si>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</si>
  <si>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</si>
  <si>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</si>
  <si>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</si>
  <si>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</si>
  <si>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</si>
  <si>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</si>
  <si>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</si>
  <si>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</si>
  <si>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</si>
  <si>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</si>
  <si>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</si>
  <si>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</si>
  <si>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</si>
  <si>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</si>
  <si>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</si>
  <si>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Coollattin Gardens (Shillelagh)</t>
  </si>
  <si>
    <t>Good Quality</t>
  </si>
  <si>
    <t>Wicklow</t>
  </si>
  <si>
    <t>5 inch</t>
  </si>
  <si>
    <t>9 inch</t>
  </si>
  <si>
    <t>383 ft</t>
  </si>
  <si>
    <t>F.W. Fox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</si>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</sst>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50" zoomScaleNormal="50" workbookViewId="0">
      <selection activeCell="J16" sqref="J16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3668</v>
      </c>
      <c r="D2">
        <f>($B$1)</f>
        <v>5</v>
      </c>
      <c r="E2">
        <f>($B$2)</f>
        <v>3668</v>
      </c>
      <c r="F2">
        <v>1</v>
      </c>
      <c r="G2">
        <v>1</v>
      </c>
      <c r="H2">
        <v>0.05</v>
      </c>
      <c r="J2">
        <v>0.02</v>
      </c>
      <c r="K2">
        <v>0.1</v>
      </c>
      <c r="M2">
        <v>0.51</v>
      </c>
      <c r="N2">
        <v>1.75</v>
      </c>
      <c r="O2">
        <v>7.0000000000000007E-2</v>
      </c>
      <c r="P2">
        <v>0.05</v>
      </c>
      <c r="R2">
        <v>0.04</v>
      </c>
      <c r="T2">
        <v>1</v>
      </c>
      <c r="U2">
        <v>6.81</v>
      </c>
      <c r="V2">
        <v>24</v>
      </c>
      <c r="W2">
        <v>21</v>
      </c>
      <c r="Y2" s="2">
        <f>SUM(H2:H32)</f>
        <v>6.8100000000000005</v>
      </c>
    </row>
    <row r="3" spans="1:25" x14ac:dyDescent="0.25">
      <c r="A3" s="1" t="s">
        <v>2</v>
      </c>
      <c r="B3" t="s">
        <v>49</v>
      </c>
      <c r="D3">
        <f t="shared" ref="D3:D32" si="0">($B$1)</f>
        <v>5</v>
      </c>
      <c r="E3">
        <f t="shared" ref="E3:E32" si="1">($B$2)</f>
        <v>3668</v>
      </c>
      <c r="F3">
        <v>2</v>
      </c>
      <c r="G3">
        <v>2</v>
      </c>
      <c r="I3">
        <v>0.03</v>
      </c>
      <c r="M3">
        <v>0.03</v>
      </c>
      <c r="N3">
        <v>1.19</v>
      </c>
      <c r="O3">
        <v>0.05</v>
      </c>
      <c r="P3">
        <v>0.83</v>
      </c>
      <c r="R3">
        <v>7.0000000000000007E-2</v>
      </c>
      <c r="S3">
        <v>0.08</v>
      </c>
      <c r="T3">
        <v>2</v>
      </c>
      <c r="U3">
        <v>3.71</v>
      </c>
      <c r="V3">
        <v>21</v>
      </c>
      <c r="W3">
        <v>17</v>
      </c>
      <c r="Y3" s="2">
        <f>SUM(I:I)</f>
        <v>3.7099999999999995</v>
      </c>
    </row>
    <row r="4" spans="1:25" x14ac:dyDescent="0.25">
      <c r="A4" s="1" t="s">
        <v>3</v>
      </c>
      <c r="B4" s="3" t="s">
        <v>56</v>
      </c>
      <c r="D4">
        <f t="shared" si="0"/>
        <v>5</v>
      </c>
      <c r="E4">
        <f t="shared" si="1"/>
        <v>3668</v>
      </c>
      <c r="F4">
        <v>3</v>
      </c>
      <c r="G4">
        <v>3</v>
      </c>
      <c r="H4">
        <v>0.08</v>
      </c>
      <c r="J4">
        <v>0.1</v>
      </c>
      <c r="N4">
        <v>0.1</v>
      </c>
      <c r="O4">
        <v>0.1</v>
      </c>
      <c r="S4">
        <v>0.03</v>
      </c>
      <c r="T4">
        <v>3</v>
      </c>
      <c r="U4">
        <v>3.59</v>
      </c>
      <c r="V4">
        <v>20</v>
      </c>
      <c r="W4">
        <v>17</v>
      </c>
      <c r="Y4" s="2">
        <f>SUM(J:J)</f>
        <v>3.59</v>
      </c>
    </row>
    <row r="5" spans="1:25" x14ac:dyDescent="0.25">
      <c r="A5" s="1" t="s">
        <v>4</v>
      </c>
      <c r="D5">
        <f t="shared" si="0"/>
        <v>5</v>
      </c>
      <c r="E5">
        <f t="shared" si="1"/>
        <v>3668</v>
      </c>
      <c r="F5">
        <v>4</v>
      </c>
      <c r="G5">
        <v>4</v>
      </c>
      <c r="H5">
        <v>0.82</v>
      </c>
      <c r="I5">
        <v>0.05</v>
      </c>
      <c r="J5">
        <v>0.14000000000000001</v>
      </c>
      <c r="P5">
        <v>0.14000000000000001</v>
      </c>
      <c r="R5">
        <v>0.1</v>
      </c>
      <c r="S5">
        <v>0.06</v>
      </c>
      <c r="T5">
        <v>4</v>
      </c>
      <c r="U5">
        <v>2.2200000000000002</v>
      </c>
      <c r="V5">
        <v>14</v>
      </c>
      <c r="W5">
        <v>9</v>
      </c>
      <c r="Y5" s="2">
        <f>SUM(K:K)</f>
        <v>2.2200000000000002</v>
      </c>
    </row>
    <row r="6" spans="1:25" x14ac:dyDescent="0.25">
      <c r="A6" s="1" t="s">
        <v>5</v>
      </c>
      <c r="D6">
        <f t="shared" si="0"/>
        <v>5</v>
      </c>
      <c r="E6">
        <f t="shared" si="1"/>
        <v>3668</v>
      </c>
      <c r="F6">
        <v>5</v>
      </c>
      <c r="G6">
        <v>5</v>
      </c>
      <c r="H6">
        <v>1.1499999999999999</v>
      </c>
      <c r="I6">
        <v>0.5</v>
      </c>
      <c r="J6">
        <v>0.15</v>
      </c>
      <c r="L6">
        <v>0.23</v>
      </c>
      <c r="N6">
        <v>0.1</v>
      </c>
      <c r="O6">
        <v>0.09</v>
      </c>
      <c r="P6">
        <v>0.2</v>
      </c>
      <c r="R6">
        <v>0.35</v>
      </c>
      <c r="T6">
        <v>5</v>
      </c>
      <c r="U6">
        <v>1.1200000000000001</v>
      </c>
      <c r="V6">
        <v>8</v>
      </c>
      <c r="W6">
        <v>6</v>
      </c>
      <c r="Y6" s="2">
        <f>SUM(L:L)</f>
        <v>1.1200000000000001</v>
      </c>
    </row>
    <row r="7" spans="1:25" x14ac:dyDescent="0.25">
      <c r="A7" s="1" t="s">
        <v>6</v>
      </c>
      <c r="D7">
        <f t="shared" si="0"/>
        <v>5</v>
      </c>
      <c r="E7">
        <f t="shared" si="1"/>
        <v>3668</v>
      </c>
      <c r="F7">
        <v>6</v>
      </c>
      <c r="G7">
        <v>6</v>
      </c>
      <c r="H7">
        <v>0.36</v>
      </c>
      <c r="I7">
        <v>0.2</v>
      </c>
      <c r="J7">
        <v>0.21</v>
      </c>
      <c r="O7">
        <v>0.03</v>
      </c>
      <c r="P7">
        <v>0.42</v>
      </c>
      <c r="R7">
        <v>0.68</v>
      </c>
      <c r="T7">
        <v>6</v>
      </c>
      <c r="U7">
        <v>2.2999999999999998</v>
      </c>
      <c r="V7">
        <v>11</v>
      </c>
      <c r="W7">
        <v>9</v>
      </c>
      <c r="Y7" s="2">
        <f>SUM(M:M)</f>
        <v>2.2999999999999998</v>
      </c>
    </row>
    <row r="8" spans="1:25" x14ac:dyDescent="0.25">
      <c r="A8" s="1" t="s">
        <v>7</v>
      </c>
      <c r="D8">
        <f t="shared" si="0"/>
        <v>5</v>
      </c>
      <c r="E8">
        <f t="shared" si="1"/>
        <v>3668</v>
      </c>
      <c r="F8">
        <v>7</v>
      </c>
      <c r="G8">
        <v>7</v>
      </c>
      <c r="H8">
        <v>0.04</v>
      </c>
      <c r="J8">
        <v>0.14000000000000001</v>
      </c>
      <c r="N8">
        <v>0.3</v>
      </c>
      <c r="P8">
        <v>0.02</v>
      </c>
      <c r="R8">
        <v>0.05</v>
      </c>
      <c r="S8">
        <v>0.1</v>
      </c>
      <c r="T8">
        <v>7</v>
      </c>
      <c r="U8">
        <v>9.7899999999999991</v>
      </c>
      <c r="V8">
        <v>25</v>
      </c>
      <c r="W8">
        <v>22</v>
      </c>
      <c r="Y8" s="2">
        <f>SUM(N:N)</f>
        <v>9.7900000000000009</v>
      </c>
    </row>
    <row r="9" spans="1:25" x14ac:dyDescent="0.25">
      <c r="A9" s="1" t="s">
        <v>8</v>
      </c>
      <c r="B9" s="3">
        <v>1936</v>
      </c>
      <c r="D9">
        <f t="shared" si="0"/>
        <v>5</v>
      </c>
      <c r="E9">
        <f t="shared" si="1"/>
        <v>3668</v>
      </c>
      <c r="F9">
        <v>8</v>
      </c>
      <c r="G9">
        <v>8</v>
      </c>
      <c r="H9">
        <v>0.32</v>
      </c>
      <c r="J9">
        <v>0.12</v>
      </c>
      <c r="M9">
        <v>0.05</v>
      </c>
      <c r="N9">
        <v>7.0000000000000007E-2</v>
      </c>
      <c r="R9">
        <v>0.28999999999999998</v>
      </c>
      <c r="T9">
        <v>8</v>
      </c>
      <c r="U9">
        <v>0.9</v>
      </c>
      <c r="V9">
        <v>9</v>
      </c>
      <c r="W9">
        <v>8</v>
      </c>
      <c r="Y9" s="2">
        <f>SUM(O:O)</f>
        <v>0.90000000000000013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3668</v>
      </c>
      <c r="F10">
        <v>9</v>
      </c>
      <c r="G10">
        <v>9</v>
      </c>
      <c r="H10">
        <v>0.87</v>
      </c>
      <c r="I10">
        <v>0.09</v>
      </c>
      <c r="N10">
        <v>0.2</v>
      </c>
      <c r="P10" s="5">
        <v>0.1</v>
      </c>
      <c r="R10">
        <v>0.05</v>
      </c>
      <c r="S10">
        <v>0.02</v>
      </c>
      <c r="T10">
        <v>9</v>
      </c>
      <c r="U10">
        <v>4.29</v>
      </c>
      <c r="V10">
        <v>13</v>
      </c>
      <c r="W10">
        <v>12</v>
      </c>
      <c r="Y10" s="2">
        <f>SUM(P:P)</f>
        <v>4.29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3668</v>
      </c>
      <c r="F11">
        <v>10</v>
      </c>
      <c r="G11">
        <v>10</v>
      </c>
      <c r="H11">
        <v>0.08</v>
      </c>
      <c r="I11">
        <v>0.25</v>
      </c>
      <c r="M11">
        <v>0.03</v>
      </c>
      <c r="N11">
        <v>0.21</v>
      </c>
      <c r="O11" s="6"/>
      <c r="P11" s="6"/>
      <c r="Q11" s="6">
        <v>7.0000000000000007E-2</v>
      </c>
      <c r="R11" s="6">
        <v>0.02</v>
      </c>
      <c r="S11" s="6">
        <v>0.04</v>
      </c>
      <c r="T11">
        <v>10</v>
      </c>
      <c r="U11">
        <v>1.83</v>
      </c>
      <c r="V11">
        <v>14</v>
      </c>
      <c r="W11">
        <v>13</v>
      </c>
      <c r="Y11" s="2">
        <f>SUM(Q:Q)</f>
        <v>1.83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3668</v>
      </c>
      <c r="F12">
        <v>11</v>
      </c>
      <c r="G12">
        <v>11</v>
      </c>
      <c r="I12">
        <v>0.1</v>
      </c>
      <c r="M12">
        <v>0.13</v>
      </c>
      <c r="N12">
        <v>0.03</v>
      </c>
      <c r="O12" s="6"/>
      <c r="P12" s="6">
        <v>0.56000000000000005</v>
      </c>
      <c r="Q12" s="6"/>
      <c r="R12" s="6">
        <v>1.35</v>
      </c>
      <c r="S12" s="6">
        <v>0.8</v>
      </c>
      <c r="T12">
        <v>11</v>
      </c>
      <c r="U12">
        <v>4.12</v>
      </c>
      <c r="V12">
        <v>17</v>
      </c>
      <c r="W12">
        <v>15</v>
      </c>
      <c r="Y12" s="2">
        <f>SUM(R:R)</f>
        <v>4.12</v>
      </c>
    </row>
    <row r="13" spans="1:25" x14ac:dyDescent="0.25">
      <c r="A13" s="1" t="s">
        <v>12</v>
      </c>
      <c r="B13" s="3" t="s">
        <v>50</v>
      </c>
      <c r="D13">
        <f t="shared" si="0"/>
        <v>5</v>
      </c>
      <c r="E13">
        <f t="shared" si="1"/>
        <v>3668</v>
      </c>
      <c r="F13">
        <v>12</v>
      </c>
      <c r="G13">
        <v>12</v>
      </c>
      <c r="I13">
        <v>0.85</v>
      </c>
      <c r="L13">
        <v>7.0000000000000007E-2</v>
      </c>
      <c r="N13">
        <v>0.75</v>
      </c>
      <c r="O13" s="6">
        <v>0.1</v>
      </c>
      <c r="P13" s="6"/>
      <c r="Q13" s="6">
        <v>0.05</v>
      </c>
      <c r="R13" s="6"/>
      <c r="S13" s="6"/>
      <c r="T13">
        <v>12</v>
      </c>
      <c r="U13">
        <v>3.55</v>
      </c>
      <c r="V13">
        <v>18</v>
      </c>
      <c r="W13">
        <v>13</v>
      </c>
      <c r="Y13" s="2">
        <f>SUM(S:S)</f>
        <v>3.5499999999999994</v>
      </c>
    </row>
    <row r="14" spans="1:25" x14ac:dyDescent="0.25">
      <c r="D14">
        <f t="shared" si="0"/>
        <v>5</v>
      </c>
      <c r="E14">
        <f t="shared" si="1"/>
        <v>3668</v>
      </c>
      <c r="F14">
        <v>13</v>
      </c>
      <c r="G14">
        <v>13</v>
      </c>
      <c r="I14">
        <v>0.15</v>
      </c>
      <c r="J14">
        <v>0.03</v>
      </c>
      <c r="K14">
        <v>0.03</v>
      </c>
      <c r="N14">
        <v>0.5</v>
      </c>
      <c r="O14" s="6"/>
      <c r="P14" s="6">
        <v>0.12</v>
      </c>
      <c r="Q14" s="6">
        <v>0.1</v>
      </c>
      <c r="R14" s="6">
        <v>0.15</v>
      </c>
      <c r="S14" s="6">
        <v>1</v>
      </c>
      <c r="T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3668</v>
      </c>
      <c r="F15">
        <v>14</v>
      </c>
      <c r="G15">
        <v>14</v>
      </c>
      <c r="H15"/>
      <c r="I15">
        <v>0.28999999999999998</v>
      </c>
      <c r="J15"/>
      <c r="K15">
        <v>0.15</v>
      </c>
      <c r="L15">
        <v>0.57999999999999996</v>
      </c>
      <c r="M15">
        <v>0.1</v>
      </c>
      <c r="N15">
        <v>0.35</v>
      </c>
      <c r="O15" s="6"/>
      <c r="P15" s="6">
        <v>7.0000000000000007E-2</v>
      </c>
      <c r="Q15" s="6">
        <v>0.02</v>
      </c>
      <c r="R15" s="6">
        <v>0.03</v>
      </c>
      <c r="S15" s="6">
        <v>0.5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3668</v>
      </c>
      <c r="D16">
        <f t="shared" si="0"/>
        <v>5</v>
      </c>
      <c r="E16">
        <f t="shared" si="1"/>
        <v>3668</v>
      </c>
      <c r="F16">
        <v>15</v>
      </c>
      <c r="G16">
        <v>15</v>
      </c>
      <c r="H16">
        <v>0.16</v>
      </c>
      <c r="K16">
        <v>0.14000000000000001</v>
      </c>
      <c r="L16">
        <v>0.05</v>
      </c>
      <c r="M16">
        <v>7.0000000000000007E-2</v>
      </c>
      <c r="N16">
        <v>0.05</v>
      </c>
      <c r="O16" s="6">
        <v>0.04</v>
      </c>
      <c r="P16" s="6"/>
      <c r="Q16" s="6"/>
      <c r="R16" s="6">
        <v>0.37</v>
      </c>
      <c r="S16" s="6">
        <v>0.26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3668</v>
      </c>
      <c r="F17">
        <v>16</v>
      </c>
      <c r="G17">
        <v>16</v>
      </c>
      <c r="H17">
        <v>0.14000000000000001</v>
      </c>
      <c r="I17">
        <v>0.1</v>
      </c>
      <c r="M17">
        <v>0.5</v>
      </c>
      <c r="N17">
        <v>0.12</v>
      </c>
      <c r="O17" s="6"/>
      <c r="P17" s="6"/>
      <c r="Q17" s="6"/>
      <c r="R17" s="6">
        <v>0.3</v>
      </c>
      <c r="S17" s="6">
        <v>0.11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3668</v>
      </c>
      <c r="F18">
        <v>17</v>
      </c>
      <c r="G18">
        <v>17</v>
      </c>
      <c r="H18">
        <v>0.26</v>
      </c>
      <c r="I18">
        <v>0.5</v>
      </c>
      <c r="K18">
        <v>0.02</v>
      </c>
      <c r="L18">
        <v>0.05</v>
      </c>
      <c r="N18">
        <v>0.8</v>
      </c>
      <c r="O18" s="6"/>
      <c r="P18" s="6"/>
      <c r="Q18" s="6"/>
      <c r="R18" s="6"/>
      <c r="S18" s="6"/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1936</v>
      </c>
      <c r="D19">
        <f t="shared" si="0"/>
        <v>5</v>
      </c>
      <c r="E19">
        <f t="shared" si="1"/>
        <v>3668</v>
      </c>
      <c r="F19">
        <v>18</v>
      </c>
      <c r="G19">
        <v>18</v>
      </c>
      <c r="H19">
        <v>0.19</v>
      </c>
      <c r="I19">
        <v>0.06</v>
      </c>
      <c r="J19">
        <v>0.04</v>
      </c>
      <c r="K19">
        <v>0.04</v>
      </c>
      <c r="L19">
        <v>0.02</v>
      </c>
      <c r="M19">
        <v>0.68</v>
      </c>
      <c r="N19">
        <v>1.37</v>
      </c>
      <c r="O19" s="6">
        <v>0.36</v>
      </c>
      <c r="P19" s="6">
        <v>7.0000000000000007E-2</v>
      </c>
      <c r="Q19" s="6">
        <v>0.12</v>
      </c>
      <c r="R19" s="6"/>
      <c r="S19" s="6"/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tr">
        <f>B3</f>
        <v>Coollattin Gardens (Shillelagh)</v>
      </c>
      <c r="D20">
        <f t="shared" si="0"/>
        <v>5</v>
      </c>
      <c r="E20">
        <f t="shared" si="1"/>
        <v>3668</v>
      </c>
      <c r="F20">
        <v>19</v>
      </c>
      <c r="G20">
        <v>19</v>
      </c>
      <c r="H20">
        <v>0.37</v>
      </c>
      <c r="J20">
        <v>0.4</v>
      </c>
      <c r="K20">
        <v>0.4</v>
      </c>
      <c r="N20">
        <v>0.31</v>
      </c>
      <c r="O20" s="6">
        <v>0.06</v>
      </c>
      <c r="P20" s="6"/>
      <c r="Q20" s="6"/>
      <c r="R20" s="6"/>
      <c r="S20" s="6"/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51</v>
      </c>
      <c r="D21">
        <f t="shared" si="0"/>
        <v>5</v>
      </c>
      <c r="E21">
        <f t="shared" si="1"/>
        <v>3668</v>
      </c>
      <c r="F21">
        <v>20</v>
      </c>
      <c r="G21">
        <v>20</v>
      </c>
      <c r="H21">
        <v>0.08</v>
      </c>
      <c r="I21">
        <v>7.0000000000000007E-2</v>
      </c>
      <c r="J21">
        <v>0.03</v>
      </c>
      <c r="K21">
        <v>0.02</v>
      </c>
      <c r="M21">
        <v>0.05</v>
      </c>
      <c r="N21">
        <v>0.02</v>
      </c>
      <c r="O21" s="6"/>
      <c r="P21" s="6"/>
      <c r="Q21" s="6"/>
      <c r="R21" s="6"/>
      <c r="S21" s="6">
        <v>0.16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52</v>
      </c>
      <c r="D22">
        <f t="shared" si="0"/>
        <v>5</v>
      </c>
      <c r="E22">
        <f t="shared" si="1"/>
        <v>3668</v>
      </c>
      <c r="F22">
        <v>21</v>
      </c>
      <c r="G22">
        <v>21</v>
      </c>
      <c r="J22">
        <v>0.48</v>
      </c>
      <c r="K22">
        <v>0.51</v>
      </c>
      <c r="O22" s="6"/>
      <c r="P22" s="6"/>
      <c r="Q22" s="6"/>
      <c r="R22" s="6"/>
      <c r="S22" s="6"/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D23">
        <f t="shared" si="0"/>
        <v>5</v>
      </c>
      <c r="E23">
        <f t="shared" si="1"/>
        <v>3668</v>
      </c>
      <c r="F23">
        <v>22</v>
      </c>
      <c r="G23">
        <v>22</v>
      </c>
      <c r="I23">
        <v>0.05</v>
      </c>
      <c r="J23">
        <v>0.14000000000000001</v>
      </c>
      <c r="L23">
        <v>0.1</v>
      </c>
      <c r="N23" s="5">
        <v>0.72</v>
      </c>
      <c r="O23" s="6"/>
      <c r="P23" s="6"/>
      <c r="Q23" s="6">
        <v>0.08</v>
      </c>
      <c r="R23" s="6"/>
      <c r="S23" s="6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 t="s">
        <v>53</v>
      </c>
      <c r="D24">
        <f t="shared" si="0"/>
        <v>5</v>
      </c>
      <c r="E24">
        <f t="shared" si="1"/>
        <v>3668</v>
      </c>
      <c r="F24">
        <v>23</v>
      </c>
      <c r="G24">
        <v>23</v>
      </c>
      <c r="H24">
        <v>0.09</v>
      </c>
      <c r="I24">
        <v>0.02</v>
      </c>
      <c r="J24">
        <v>0.1</v>
      </c>
      <c r="K24">
        <v>0.02</v>
      </c>
      <c r="M24">
        <v>0.15</v>
      </c>
      <c r="N24">
        <v>0.05</v>
      </c>
      <c r="O24" s="6"/>
      <c r="P24" s="6"/>
      <c r="Q24" s="6">
        <v>0.17</v>
      </c>
      <c r="R24" s="6">
        <v>0.05</v>
      </c>
      <c r="S24" s="6"/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54</v>
      </c>
      <c r="D25">
        <f t="shared" si="0"/>
        <v>5</v>
      </c>
      <c r="E25">
        <f t="shared" si="1"/>
        <v>3668</v>
      </c>
      <c r="F25">
        <v>24</v>
      </c>
      <c r="G25">
        <v>24</v>
      </c>
      <c r="H25">
        <v>0.45</v>
      </c>
      <c r="I25">
        <v>0.05</v>
      </c>
      <c r="J25">
        <v>0.08</v>
      </c>
      <c r="K25">
        <v>0.45</v>
      </c>
      <c r="O25" s="6"/>
      <c r="P25" s="6">
        <v>0.9</v>
      </c>
      <c r="Q25" s="6">
        <v>0.13</v>
      </c>
      <c r="R25" s="6"/>
      <c r="S25" s="6">
        <v>0.02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3668</v>
      </c>
      <c r="F26">
        <v>25</v>
      </c>
      <c r="G26">
        <v>25</v>
      </c>
      <c r="H26">
        <v>0.03</v>
      </c>
      <c r="I26">
        <v>0.03</v>
      </c>
      <c r="K26">
        <v>0.03</v>
      </c>
      <c r="O26" s="6"/>
      <c r="P26" s="6">
        <v>0.81</v>
      </c>
      <c r="Q26" s="6">
        <v>0.23</v>
      </c>
      <c r="R26" s="6"/>
      <c r="S26" s="6">
        <v>0.01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3668</v>
      </c>
      <c r="F27">
        <v>26</v>
      </c>
      <c r="G27">
        <v>26</v>
      </c>
      <c r="H27">
        <v>0.74</v>
      </c>
      <c r="I27">
        <v>0.04</v>
      </c>
      <c r="J27">
        <v>0.5</v>
      </c>
      <c r="O27" s="6"/>
      <c r="P27" s="6"/>
      <c r="Q27" s="6">
        <v>0.1</v>
      </c>
      <c r="R27" s="6"/>
      <c r="S27" s="6"/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44.23</v>
      </c>
      <c r="D28">
        <f t="shared" si="0"/>
        <v>5</v>
      </c>
      <c r="E28">
        <f t="shared" si="1"/>
        <v>3668</v>
      </c>
      <c r="F28">
        <v>27</v>
      </c>
      <c r="G28">
        <v>27</v>
      </c>
      <c r="H28">
        <v>0.2</v>
      </c>
      <c r="J28">
        <v>0.15</v>
      </c>
      <c r="K28">
        <v>0.2</v>
      </c>
      <c r="N28">
        <v>0.54</v>
      </c>
      <c r="O28" s="6"/>
      <c r="P28" s="6"/>
      <c r="Q28" s="6">
        <v>0.15</v>
      </c>
      <c r="R28" s="6"/>
      <c r="S28" s="6"/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194</v>
      </c>
      <c r="D29">
        <f t="shared" si="0"/>
        <v>5</v>
      </c>
      <c r="E29">
        <f t="shared" si="1"/>
        <v>3668</v>
      </c>
      <c r="F29">
        <v>28</v>
      </c>
      <c r="G29">
        <v>28</v>
      </c>
      <c r="H29">
        <v>0.02</v>
      </c>
      <c r="I29">
        <v>0.25</v>
      </c>
      <c r="J29">
        <v>0.56999999999999995</v>
      </c>
      <c r="K29">
        <v>0.11</v>
      </c>
      <c r="N29">
        <v>0.03</v>
      </c>
      <c r="O29" s="6"/>
      <c r="P29" s="6"/>
      <c r="Q29" s="6">
        <v>7.0000000000000007E-2</v>
      </c>
      <c r="R29" s="6"/>
      <c r="S29" s="6">
        <v>0.05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162</v>
      </c>
      <c r="D30">
        <f t="shared" si="0"/>
        <v>5</v>
      </c>
      <c r="E30">
        <f t="shared" si="1"/>
        <v>3668</v>
      </c>
      <c r="F30">
        <v>29</v>
      </c>
      <c r="G30">
        <v>29</v>
      </c>
      <c r="H30">
        <v>0.03</v>
      </c>
      <c r="I30">
        <v>0.03</v>
      </c>
      <c r="J30">
        <v>0.12</v>
      </c>
      <c r="L30">
        <v>0.02</v>
      </c>
      <c r="N30">
        <v>0.05</v>
      </c>
      <c r="O30" s="6"/>
      <c r="P30" s="6"/>
      <c r="Q30" s="6">
        <v>0.04</v>
      </c>
      <c r="R30" s="6">
        <v>0.05</v>
      </c>
      <c r="S30" s="6">
        <v>0.03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t="s">
        <v>55</v>
      </c>
      <c r="D31">
        <f t="shared" si="0"/>
        <v>5</v>
      </c>
      <c r="E31">
        <f t="shared" si="1"/>
        <v>3668</v>
      </c>
      <c r="F31">
        <v>30</v>
      </c>
      <c r="G31">
        <v>30</v>
      </c>
      <c r="H31">
        <v>0.12</v>
      </c>
      <c r="I31" s="6"/>
      <c r="J31" s="6"/>
      <c r="K31" s="6"/>
      <c r="L31" s="6"/>
      <c r="M31" s="6"/>
      <c r="N31" s="6">
        <v>0.14000000000000001</v>
      </c>
      <c r="O31" s="6"/>
      <c r="P31" s="6"/>
      <c r="Q31" s="6">
        <v>0.5</v>
      </c>
      <c r="R31" s="6">
        <v>0.17</v>
      </c>
      <c r="S31" s="6">
        <v>0.1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3668</v>
      </c>
      <c r="F32">
        <v>31</v>
      </c>
      <c r="G32">
        <v>31</v>
      </c>
      <c r="H32">
        <v>0.16</v>
      </c>
      <c r="I32" s="6"/>
      <c r="J32" s="6">
        <v>7.0000000000000007E-2</v>
      </c>
      <c r="K32" s="6"/>
      <c r="L32" s="6"/>
      <c r="M32" s="6"/>
      <c r="N32" s="6">
        <v>0.04</v>
      </c>
      <c r="O32" s="6"/>
      <c r="P32" s="6"/>
      <c r="Q32" s="6"/>
      <c r="R32" s="6"/>
      <c r="S32" s="6">
        <v>0.18</v>
      </c>
      <c r="T32" t="s">
        <v>30</v>
      </c>
      <c r="U32" t="s">
        <v>30</v>
      </c>
      <c r="V32" t="s">
        <v>30</v>
      </c>
      <c r="W32" t="s">
        <v>30</v>
      </c>
    </row>
    <row r="33" spans="1:19" x14ac:dyDescent="0.25">
      <c r="A33" s="1" t="s">
        <v>44</v>
      </c>
      <c r="B33" s="3" t="s">
        <v>30</v>
      </c>
      <c r="O33" s="6"/>
      <c r="P33" s="6"/>
      <c r="Q33" s="6"/>
      <c r="R33" s="6"/>
      <c r="S33" s="6"/>
    </row>
    <row r="34" spans="1:19" x14ac:dyDescent="0.25">
      <c r="A34" s="1" t="s">
        <v>45</v>
      </c>
      <c r="B34" s="3" t="s">
        <v>30</v>
      </c>
      <c r="O34" s="6"/>
      <c r="P34" s="6"/>
      <c r="Q34" s="6"/>
      <c r="R34" s="6"/>
      <c r="S34" s="6"/>
    </row>
    <row r="35" spans="1:19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2018-04-10T09:54:18Z</dcterms:modified>
</cp:coreProperties>
</file>