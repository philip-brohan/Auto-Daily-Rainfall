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0" yWindow="0" windowWidth="13515" windowHeight="8055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0" i="1" l="1"/>
  <c r="Y8" i="1"/>
  <c r="Y3" i="1"/>
  <c r="Y13" i="1" l="1"/>
  <c r="Y12" i="1"/>
  <c r="Y11" i="1"/>
  <c r="Y9" i="1"/>
  <c r="Y7" i="1"/>
  <c r="Y6" i="1"/>
  <c r="Y5" i="1"/>
  <c r="Y4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<sst xmlns="http://schemas.openxmlformats.org/spreadsheetml/2006/main" count="147" uniqueCount="55">
  <si>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</si>
  <si>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</si>
  <si>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</si>
  <si>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</si>
  <si>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</si>
  <si>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</si>
  <si>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</si>
  <si>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</si>
  <si>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</si>
  <si>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</si>
  <si>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</si>
  <si>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</si>
  <si>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</si>
  <si>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</si>
  <si>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</si>
  <si>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</si>
  <si>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</si>
  <si>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</si>
  <si>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</si>
  <si>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</si>
  <si>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</si>
  <si>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</si>
  <si>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</si>
  <si>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</si>
  <si>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</si>
  <si>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</si>
  <si>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</si>
  <si>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</si>
  <si>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</si>
  <si>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</si>
  <si>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</si>
  <si>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</si>
  <si>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</si>
  <si>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</si>
  <si>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</si>
  <si>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</si>
  <si>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</si>
  <si>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</si>
  <si>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</si>
  <si>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</si>
  <si>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</si>
  <si>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</si>
  <si>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</si>
  <si>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</si>
  <si>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</si>
  <si>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</si>
  <si>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</si>
  <si>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</si>
  <si>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</si>
  <si>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Bessborough Piltown</t>
  </si>
  <si>
    <t>Kilkenny</t>
  </si>
  <si>
    <t>8 inch</t>
  </si>
  <si>
    <t>3 ft</t>
  </si>
  <si>
    <t xml:space="preserve">multiday sum recorded on April 20th and 21st  </t>
  </si>
  <si>
    <t xml:space="preserve">multiday sum recorded on July 2nd and 3rd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</si>
</sst>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60" zoomScaleNormal="60" workbookViewId="0">
      <selection activeCell="N3" sqref="N3:N4"/>
    </sheetView>
  </sheetViews>
  <sheetFormatPr defaultRowHeight="15" x14ac:dyDescent="0.25"/>
  <cols>
    <col min="1" max="1" width="22.7109375" customWidth="1"/>
    <col min="2" max="2" width="42.570312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3681</v>
      </c>
      <c r="D2">
        <f>($B$1)</f>
        <v>5</v>
      </c>
      <c r="E2">
        <f>($B$2)</f>
        <v>3681</v>
      </c>
      <c r="F2">
        <v>1</v>
      </c>
      <c r="G2">
        <v>1</v>
      </c>
      <c r="H2">
        <v>0.1</v>
      </c>
      <c r="K2">
        <v>0.04</v>
      </c>
      <c r="M2">
        <v>0.51</v>
      </c>
      <c r="N2">
        <v>0.33</v>
      </c>
      <c r="P2">
        <v>0.05</v>
      </c>
      <c r="R2">
        <v>0.05</v>
      </c>
      <c r="T2">
        <v>1</v>
      </c>
      <c r="U2">
        <v>6.22</v>
      </c>
      <c r="Y2" s="2">
        <f>SUM(H2:H32)</f>
        <v>6.22</v>
      </c>
    </row>
    <row r="3" spans="1:25" x14ac:dyDescent="0.25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3681</v>
      </c>
      <c r="F3">
        <v>2</v>
      </c>
      <c r="G3">
        <v>2</v>
      </c>
      <c r="J3">
        <v>0.04</v>
      </c>
      <c r="K3">
        <v>0.01</v>
      </c>
      <c r="M3">
        <v>0.02</v>
      </c>
      <c r="N3" s="5"/>
      <c r="O3">
        <v>0.03</v>
      </c>
      <c r="P3">
        <v>0.6</v>
      </c>
      <c r="R3">
        <v>0.09</v>
      </c>
      <c r="T3">
        <v>2</v>
      </c>
      <c r="U3">
        <v>4.4400000000000004</v>
      </c>
      <c r="Y3" s="2">
        <f>SUM(I:I)</f>
        <v>4.4399999999999995</v>
      </c>
    </row>
    <row r="4" spans="1:25" x14ac:dyDescent="0.25">
      <c r="A4" s="1" t="s">
        <v>3</v>
      </c>
      <c r="B4" s="3" t="s">
        <v>48</v>
      </c>
      <c r="D4">
        <f t="shared" si="0"/>
        <v>5</v>
      </c>
      <c r="E4">
        <f t="shared" si="1"/>
        <v>3681</v>
      </c>
      <c r="F4">
        <v>3</v>
      </c>
      <c r="G4">
        <v>3</v>
      </c>
      <c r="J4">
        <v>0.02</v>
      </c>
      <c r="N4" s="5">
        <v>0.16</v>
      </c>
      <c r="O4">
        <v>0.02</v>
      </c>
      <c r="P4">
        <v>0.22</v>
      </c>
      <c r="R4">
        <v>0.03</v>
      </c>
      <c r="S4">
        <v>0.03</v>
      </c>
      <c r="T4">
        <v>3</v>
      </c>
      <c r="U4">
        <v>3.69</v>
      </c>
      <c r="Y4" s="2">
        <f>SUM(J:J)</f>
        <v>3.69</v>
      </c>
    </row>
    <row r="5" spans="1:25" x14ac:dyDescent="0.25">
      <c r="A5" s="1" t="s">
        <v>4</v>
      </c>
      <c r="D5">
        <f t="shared" si="0"/>
        <v>5</v>
      </c>
      <c r="E5">
        <f t="shared" si="1"/>
        <v>3681</v>
      </c>
      <c r="F5">
        <v>4</v>
      </c>
      <c r="G5">
        <v>4</v>
      </c>
      <c r="H5">
        <v>0.62</v>
      </c>
      <c r="J5">
        <v>0.11</v>
      </c>
      <c r="P5">
        <v>0.06</v>
      </c>
      <c r="R5">
        <v>0.14000000000000001</v>
      </c>
      <c r="S5">
        <v>0.08</v>
      </c>
      <c r="T5">
        <v>4</v>
      </c>
      <c r="U5">
        <v>1.67</v>
      </c>
      <c r="Y5" s="2">
        <f>SUM(K:K)</f>
        <v>1.6700000000000002</v>
      </c>
    </row>
    <row r="6" spans="1:25" x14ac:dyDescent="0.25">
      <c r="A6" s="1" t="s">
        <v>5</v>
      </c>
      <c r="D6">
        <f t="shared" si="0"/>
        <v>5</v>
      </c>
      <c r="E6">
        <f t="shared" si="1"/>
        <v>3681</v>
      </c>
      <c r="F6">
        <v>5</v>
      </c>
      <c r="G6">
        <v>5</v>
      </c>
      <c r="H6">
        <v>0.82</v>
      </c>
      <c r="I6">
        <v>0.56000000000000005</v>
      </c>
      <c r="J6">
        <v>0.02</v>
      </c>
      <c r="L6">
        <v>0.28999999999999998</v>
      </c>
      <c r="N6">
        <v>0.04</v>
      </c>
      <c r="O6">
        <v>0.06</v>
      </c>
      <c r="R6">
        <v>0.46</v>
      </c>
      <c r="S6">
        <v>0.03</v>
      </c>
      <c r="T6">
        <v>5</v>
      </c>
      <c r="U6">
        <v>1.34</v>
      </c>
      <c r="Y6" s="2">
        <f>SUM(L:L)</f>
        <v>1.34</v>
      </c>
    </row>
    <row r="7" spans="1:25" x14ac:dyDescent="0.25">
      <c r="A7" s="1" t="s">
        <v>6</v>
      </c>
      <c r="D7">
        <f t="shared" si="0"/>
        <v>5</v>
      </c>
      <c r="E7">
        <f t="shared" si="1"/>
        <v>3681</v>
      </c>
      <c r="F7">
        <v>6</v>
      </c>
      <c r="G7">
        <v>6</v>
      </c>
      <c r="H7">
        <v>0.01</v>
      </c>
      <c r="I7">
        <v>0.13</v>
      </c>
      <c r="J7">
        <v>0.25</v>
      </c>
      <c r="P7">
        <v>0.49</v>
      </c>
      <c r="R7">
        <v>7.0000000000000007E-2</v>
      </c>
      <c r="S7">
        <v>0.06</v>
      </c>
      <c r="T7">
        <v>6</v>
      </c>
      <c r="U7">
        <v>2.62</v>
      </c>
      <c r="Y7" s="2">
        <f>SUM(M:M)</f>
        <v>2.6200000000000006</v>
      </c>
    </row>
    <row r="8" spans="1:25" x14ac:dyDescent="0.25">
      <c r="A8" s="1" t="s">
        <v>7</v>
      </c>
      <c r="D8">
        <f t="shared" si="0"/>
        <v>5</v>
      </c>
      <c r="E8">
        <f t="shared" si="1"/>
        <v>3681</v>
      </c>
      <c r="F8">
        <v>7</v>
      </c>
      <c r="G8">
        <v>7</v>
      </c>
      <c r="H8">
        <v>0.42</v>
      </c>
      <c r="J8">
        <v>0.15</v>
      </c>
      <c r="M8">
        <v>0.04</v>
      </c>
      <c r="N8">
        <v>0.16</v>
      </c>
      <c r="P8">
        <v>7.0000000000000007E-2</v>
      </c>
      <c r="R8">
        <v>0.22</v>
      </c>
      <c r="S8">
        <v>0.1</v>
      </c>
      <c r="T8">
        <v>7</v>
      </c>
      <c r="U8">
        <v>5.21</v>
      </c>
      <c r="Y8" s="2">
        <f>SUM(N:N)</f>
        <v>5.2099999999999991</v>
      </c>
    </row>
    <row r="9" spans="1:25" x14ac:dyDescent="0.25">
      <c r="A9" s="1" t="s">
        <v>8</v>
      </c>
      <c r="B9" s="3">
        <v>1936</v>
      </c>
      <c r="D9">
        <f t="shared" si="0"/>
        <v>5</v>
      </c>
      <c r="E9">
        <f t="shared" si="1"/>
        <v>3681</v>
      </c>
      <c r="F9">
        <v>8</v>
      </c>
      <c r="G9">
        <v>8</v>
      </c>
      <c r="H9">
        <v>0.24</v>
      </c>
      <c r="J9">
        <v>0.03</v>
      </c>
      <c r="N9">
        <v>0.16</v>
      </c>
      <c r="O9">
        <v>0.01</v>
      </c>
      <c r="P9">
        <v>0.13</v>
      </c>
      <c r="R9">
        <v>0.13</v>
      </c>
      <c r="S9">
        <v>0.01</v>
      </c>
      <c r="T9">
        <v>8</v>
      </c>
      <c r="U9">
        <v>0.62</v>
      </c>
      <c r="Y9" s="2">
        <f>SUM(O:O)</f>
        <v>0.62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3681</v>
      </c>
      <c r="F10">
        <v>9</v>
      </c>
      <c r="G10">
        <v>9</v>
      </c>
      <c r="H10">
        <v>0.74</v>
      </c>
      <c r="I10">
        <v>1.07</v>
      </c>
      <c r="N10">
        <v>0.09</v>
      </c>
      <c r="P10">
        <v>0.04</v>
      </c>
      <c r="R10">
        <v>0.02</v>
      </c>
      <c r="T10">
        <v>9</v>
      </c>
      <c r="U10">
        <v>3.69</v>
      </c>
      <c r="Y10" s="2">
        <f>SUM(P:P)</f>
        <v>3.6899999999999995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3681</v>
      </c>
      <c r="F11">
        <v>10</v>
      </c>
      <c r="G11">
        <v>10</v>
      </c>
      <c r="I11">
        <v>1.01</v>
      </c>
      <c r="N11">
        <v>0.03</v>
      </c>
      <c r="O11">
        <v>0.01</v>
      </c>
      <c r="R11">
        <v>0.26</v>
      </c>
      <c r="S11">
        <v>0.14000000000000001</v>
      </c>
      <c r="T11">
        <v>10</v>
      </c>
      <c r="U11">
        <v>1.35</v>
      </c>
      <c r="Y11" s="2">
        <f>SUM(Q:Q)</f>
        <v>1.3499999999999999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3681</v>
      </c>
      <c r="F12">
        <v>11</v>
      </c>
      <c r="G12">
        <v>11</v>
      </c>
      <c r="I12">
        <v>0.17</v>
      </c>
      <c r="M12">
        <v>0.04</v>
      </c>
      <c r="N12">
        <v>0.09</v>
      </c>
      <c r="P12">
        <v>0.46</v>
      </c>
      <c r="R12">
        <v>0.7</v>
      </c>
      <c r="S12">
        <v>0.35</v>
      </c>
      <c r="T12">
        <v>11</v>
      </c>
      <c r="U12">
        <v>2.87</v>
      </c>
      <c r="Y12" s="2">
        <f>SUM(R:R)</f>
        <v>2.8699999999999997</v>
      </c>
    </row>
    <row r="13" spans="1:25" x14ac:dyDescent="0.25">
      <c r="A13" s="1" t="s">
        <v>12</v>
      </c>
      <c r="B13" s="3" t="s">
        <v>53</v>
      </c>
      <c r="D13">
        <f t="shared" si="0"/>
        <v>5</v>
      </c>
      <c r="E13">
        <f t="shared" si="1"/>
        <v>3681</v>
      </c>
      <c r="F13">
        <v>12</v>
      </c>
      <c r="G13">
        <v>12</v>
      </c>
      <c r="I13">
        <v>0.03</v>
      </c>
      <c r="J13">
        <v>0.04</v>
      </c>
      <c r="K13">
        <v>0.02</v>
      </c>
      <c r="N13">
        <v>0.59</v>
      </c>
      <c r="Q13">
        <v>0.02</v>
      </c>
      <c r="S13">
        <v>0.02</v>
      </c>
      <c r="T13">
        <v>12</v>
      </c>
      <c r="U13">
        <v>4.09</v>
      </c>
      <c r="Y13" s="2">
        <f>SUM(S:S)</f>
        <v>4.09</v>
      </c>
    </row>
    <row r="14" spans="1:25" x14ac:dyDescent="0.25">
      <c r="B14" s="3" t="s">
        <v>54</v>
      </c>
      <c r="D14">
        <f t="shared" si="0"/>
        <v>5</v>
      </c>
      <c r="E14">
        <f t="shared" si="1"/>
        <v>3681</v>
      </c>
      <c r="F14">
        <v>13</v>
      </c>
      <c r="G14">
        <v>13</v>
      </c>
      <c r="H14">
        <v>0.01</v>
      </c>
      <c r="I14">
        <v>0.48</v>
      </c>
      <c r="K14">
        <v>0.04</v>
      </c>
      <c r="L14">
        <v>0.03</v>
      </c>
      <c r="N14">
        <v>0.14000000000000001</v>
      </c>
      <c r="O14">
        <v>0.04</v>
      </c>
      <c r="P14">
        <v>0.32</v>
      </c>
      <c r="Q14">
        <v>0.02</v>
      </c>
      <c r="R14">
        <v>0.1</v>
      </c>
      <c r="S14">
        <v>0.92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3681</v>
      </c>
      <c r="F15">
        <v>14</v>
      </c>
      <c r="G15">
        <v>14</v>
      </c>
      <c r="H15">
        <v>0.12</v>
      </c>
      <c r="I15">
        <v>0.18</v>
      </c>
      <c r="J15"/>
      <c r="K15">
        <v>0.03</v>
      </c>
      <c r="L15">
        <v>0.84</v>
      </c>
      <c r="M15">
        <v>0.04</v>
      </c>
      <c r="N15">
        <v>0.02</v>
      </c>
      <c r="O15"/>
      <c r="P15">
        <v>0.01</v>
      </c>
      <c r="Q15"/>
      <c r="R15"/>
      <c r="S15">
        <v>0.67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3681</v>
      </c>
      <c r="D16">
        <f t="shared" si="0"/>
        <v>5</v>
      </c>
      <c r="E16">
        <f t="shared" si="1"/>
        <v>3681</v>
      </c>
      <c r="F16">
        <v>15</v>
      </c>
      <c r="G16">
        <v>15</v>
      </c>
      <c r="H16">
        <v>0.23</v>
      </c>
      <c r="M16">
        <v>0.03</v>
      </c>
      <c r="N16">
        <v>0.17</v>
      </c>
      <c r="R16">
        <v>0.14000000000000001</v>
      </c>
      <c r="S16">
        <v>0.37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3681</v>
      </c>
      <c r="F17">
        <v>16</v>
      </c>
      <c r="G17">
        <v>16</v>
      </c>
      <c r="I17">
        <v>0.06</v>
      </c>
      <c r="M17">
        <v>0.34</v>
      </c>
      <c r="O17">
        <v>0.02</v>
      </c>
      <c r="R17">
        <v>0.26</v>
      </c>
      <c r="S17">
        <v>0.2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48</v>
      </c>
      <c r="D18">
        <f t="shared" si="0"/>
        <v>5</v>
      </c>
      <c r="E18">
        <f t="shared" si="1"/>
        <v>3681</v>
      </c>
      <c r="F18">
        <v>17</v>
      </c>
      <c r="G18">
        <v>17</v>
      </c>
      <c r="H18">
        <v>0.22</v>
      </c>
      <c r="I18">
        <v>0.4</v>
      </c>
      <c r="L18">
        <v>0.03</v>
      </c>
      <c r="M18">
        <v>0.01</v>
      </c>
      <c r="N18">
        <v>1.06</v>
      </c>
      <c r="O18">
        <v>0.01</v>
      </c>
      <c r="S18">
        <v>0.21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1936</v>
      </c>
      <c r="D19">
        <f t="shared" si="0"/>
        <v>5</v>
      </c>
      <c r="E19">
        <f t="shared" si="1"/>
        <v>3681</v>
      </c>
      <c r="F19">
        <v>18</v>
      </c>
      <c r="G19">
        <v>18</v>
      </c>
      <c r="H19">
        <v>0.04</v>
      </c>
      <c r="I19">
        <v>0.09</v>
      </c>
      <c r="L19">
        <v>0.06</v>
      </c>
      <c r="N19">
        <v>0.31</v>
      </c>
      <c r="O19">
        <v>0.42</v>
      </c>
      <c r="P19">
        <v>0.2</v>
      </c>
      <c r="Q19">
        <v>0.04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3" t="s">
        <v>49</v>
      </c>
      <c r="D20">
        <f t="shared" si="0"/>
        <v>5</v>
      </c>
      <c r="E20">
        <f t="shared" si="1"/>
        <v>3681</v>
      </c>
      <c r="F20">
        <v>19</v>
      </c>
      <c r="G20">
        <v>19</v>
      </c>
      <c r="H20">
        <v>0.33</v>
      </c>
      <c r="J20">
        <v>0.44</v>
      </c>
      <c r="K20">
        <v>0.56999999999999995</v>
      </c>
      <c r="M20">
        <v>0.89</v>
      </c>
      <c r="N20">
        <v>0.04</v>
      </c>
      <c r="P20">
        <v>0.01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50</v>
      </c>
      <c r="D21">
        <f t="shared" si="0"/>
        <v>5</v>
      </c>
      <c r="E21">
        <f t="shared" si="1"/>
        <v>3681</v>
      </c>
      <c r="F21">
        <v>20</v>
      </c>
      <c r="G21">
        <v>20</v>
      </c>
      <c r="I21">
        <v>0.04</v>
      </c>
      <c r="K21">
        <v>0.49</v>
      </c>
      <c r="M21">
        <v>0.02</v>
      </c>
      <c r="N21">
        <v>0.08</v>
      </c>
      <c r="S21">
        <v>0.02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51</v>
      </c>
      <c r="D22">
        <f t="shared" si="0"/>
        <v>5</v>
      </c>
      <c r="E22">
        <f t="shared" si="1"/>
        <v>3681</v>
      </c>
      <c r="F22">
        <v>21</v>
      </c>
      <c r="G22">
        <v>21</v>
      </c>
      <c r="H22">
        <v>0.01</v>
      </c>
      <c r="J22">
        <v>0.32</v>
      </c>
      <c r="M22">
        <v>0.68</v>
      </c>
      <c r="Q22">
        <v>0.01</v>
      </c>
      <c r="S22">
        <v>0.28000000000000003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 t="s">
        <v>52</v>
      </c>
      <c r="D23">
        <f t="shared" si="0"/>
        <v>5</v>
      </c>
      <c r="E23">
        <f t="shared" si="1"/>
        <v>3681</v>
      </c>
      <c r="F23">
        <v>22</v>
      </c>
      <c r="G23">
        <v>22</v>
      </c>
      <c r="H23">
        <v>0.01</v>
      </c>
      <c r="J23">
        <v>0.04</v>
      </c>
      <c r="N23">
        <v>0.76</v>
      </c>
      <c r="P23">
        <v>0.01</v>
      </c>
      <c r="Q23">
        <v>0.31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0</v>
      </c>
      <c r="D24">
        <f t="shared" si="0"/>
        <v>5</v>
      </c>
      <c r="E24">
        <f t="shared" si="1"/>
        <v>3681</v>
      </c>
      <c r="F24">
        <v>23</v>
      </c>
      <c r="G24">
        <v>23</v>
      </c>
      <c r="H24">
        <v>0.06</v>
      </c>
      <c r="I24">
        <v>7.0000000000000007E-2</v>
      </c>
      <c r="J24">
        <v>0.17</v>
      </c>
      <c r="K24">
        <v>0.32</v>
      </c>
      <c r="N24">
        <v>0.01</v>
      </c>
      <c r="R24">
        <v>0.04</v>
      </c>
      <c r="S24">
        <v>0.01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30</v>
      </c>
      <c r="D25">
        <f t="shared" si="0"/>
        <v>5</v>
      </c>
      <c r="E25">
        <f t="shared" si="1"/>
        <v>3681</v>
      </c>
      <c r="F25">
        <v>24</v>
      </c>
      <c r="G25">
        <v>24</v>
      </c>
      <c r="H25">
        <v>0.6</v>
      </c>
      <c r="J25">
        <v>0.06</v>
      </c>
      <c r="K25">
        <v>0.01</v>
      </c>
      <c r="P25">
        <v>0.86</v>
      </c>
      <c r="Q25">
        <v>0.09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3681</v>
      </c>
      <c r="F26">
        <v>25</v>
      </c>
      <c r="G26">
        <v>25</v>
      </c>
      <c r="H26">
        <v>0.02</v>
      </c>
      <c r="I26">
        <v>0.02</v>
      </c>
      <c r="K26">
        <v>0.06</v>
      </c>
      <c r="N26">
        <v>0.01</v>
      </c>
      <c r="P26">
        <v>0.08</v>
      </c>
      <c r="Q26">
        <v>0.36</v>
      </c>
      <c r="S26">
        <v>0.01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D27">
        <f t="shared" si="0"/>
        <v>5</v>
      </c>
      <c r="E27">
        <f t="shared" si="1"/>
        <v>3681</v>
      </c>
      <c r="F27">
        <v>26</v>
      </c>
      <c r="G27">
        <v>26</v>
      </c>
      <c r="H27">
        <v>0.75</v>
      </c>
      <c r="I27">
        <v>0.02</v>
      </c>
      <c r="J27">
        <v>0.77</v>
      </c>
      <c r="K27">
        <v>0.01</v>
      </c>
      <c r="N27">
        <v>0.01</v>
      </c>
      <c r="P27">
        <v>0.08</v>
      </c>
      <c r="Q27">
        <v>0.02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37.81</v>
      </c>
      <c r="D28">
        <f t="shared" si="0"/>
        <v>5</v>
      </c>
      <c r="E28">
        <f t="shared" si="1"/>
        <v>3681</v>
      </c>
      <c r="F28">
        <v>27</v>
      </c>
      <c r="G28">
        <v>27</v>
      </c>
      <c r="H28">
        <v>0.21</v>
      </c>
      <c r="I28">
        <v>0.02</v>
      </c>
      <c r="J28">
        <v>0.02</v>
      </c>
      <c r="K28">
        <v>0.01</v>
      </c>
      <c r="N28">
        <v>0.59</v>
      </c>
      <c r="R28">
        <v>0.01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D29">
        <f t="shared" si="0"/>
        <v>5</v>
      </c>
      <c r="E29">
        <f t="shared" si="1"/>
        <v>3681</v>
      </c>
      <c r="F29">
        <v>28</v>
      </c>
      <c r="G29">
        <v>28</v>
      </c>
      <c r="I29">
        <v>7.0000000000000007E-2</v>
      </c>
      <c r="J29">
        <v>1</v>
      </c>
      <c r="K29">
        <v>0.06</v>
      </c>
      <c r="N29">
        <v>0.12</v>
      </c>
      <c r="R29">
        <v>0.15</v>
      </c>
      <c r="S29">
        <v>0.19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D30">
        <f t="shared" si="0"/>
        <v>5</v>
      </c>
      <c r="E30">
        <f t="shared" si="1"/>
        <v>3681</v>
      </c>
      <c r="F30">
        <v>29</v>
      </c>
      <c r="G30">
        <v>29</v>
      </c>
      <c r="H30">
        <v>0.09</v>
      </c>
      <c r="I30">
        <v>0.02</v>
      </c>
      <c r="J30">
        <v>0.03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3" t="s">
        <v>30</v>
      </c>
      <c r="D31">
        <f t="shared" si="0"/>
        <v>5</v>
      </c>
      <c r="E31">
        <f t="shared" si="1"/>
        <v>3681</v>
      </c>
      <c r="F31">
        <v>30</v>
      </c>
      <c r="G31">
        <v>30</v>
      </c>
      <c r="H31">
        <v>0.15</v>
      </c>
      <c r="L31">
        <v>0.05</v>
      </c>
      <c r="N31">
        <v>0.02</v>
      </c>
      <c r="Q31">
        <v>7.0000000000000007E-2</v>
      </c>
      <c r="S31">
        <v>0.26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3681</v>
      </c>
      <c r="F32">
        <v>31</v>
      </c>
      <c r="G32">
        <v>31</v>
      </c>
      <c r="H32">
        <v>0.42</v>
      </c>
      <c r="J32">
        <v>0.18</v>
      </c>
      <c r="L32">
        <v>0.04</v>
      </c>
      <c r="N32">
        <v>0.22</v>
      </c>
      <c r="Q32">
        <v>0.41</v>
      </c>
      <c r="S32">
        <v>0.13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5">
      <c r="A33" s="1" t="s">
        <v>44</v>
      </c>
      <c r="B33" s="3" t="s">
        <v>30</v>
      </c>
    </row>
    <row r="34" spans="1:2" x14ac:dyDescent="0.25">
      <c r="A34" s="1" t="s">
        <v>45</v>
      </c>
      <c r="B34" s="3" t="s">
        <v>30</v>
      </c>
    </row>
    <row r="35" spans="1:2" x14ac:dyDescent="0.25">
      <c r="A3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2018-04-08T13:16:33Z</dcterms:modified>
</cp:coreProperties>
</file>