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<sst xmlns="http://schemas.openxmlformats.org/spreadsheetml/2006/main" uniqueCount="58">
  <si>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</si>
  <si>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</si>
  <si>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</si>
  <si>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</si>
  <si>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</si>
  <si>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</si>
  <si>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</si>
  <si>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</si>
  <si>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</si>
  <si>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</si>
  <si>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</si>
  <si>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</si>
  <si>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</si>
  <si>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</si>
  <si>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</si>
  <si>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</si>
  <si>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</si>
  <si>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</si>
  <si>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</si>
  <si>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</si>
  <si>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</si>
  <si>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</si>
  <si>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</si>
  <si>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Fassaroe, Bray</t>
  </si>
  <si>
    <t>stno</t>
  </si>
  <si>
    <t>na</t>
  </si>
  <si>
    <t>stnlat</t>
  </si>
  <si>
    <t>stnlatmin</t>
  </si>
  <si>
    <t>stnlong</t>
  </si>
  <si>
    <t>stnlongmin</t>
  </si>
  <si>
    <t>year</t>
  </si>
  <si>
    <t>archcode</t>
  </si>
  <si>
    <t>comments</t>
  </si>
  <si>
    <t>Good quality</t>
  </si>
  <si>
    <t>stnum</t>
  </si>
  <si>
    <t>stname</t>
  </si>
  <si>
    <t xml:space="preserve"> </t>
  </si>
  <si>
    <t>county</t>
  </si>
  <si>
    <t>Wicklow</t>
  </si>
  <si>
    <t>funnel_diameter</t>
  </si>
  <si>
    <t>5inch</t>
  </si>
  <si>
    <t>gauge_height_ft</t>
  </si>
  <si>
    <t>gauge_height_inch</t>
  </si>
  <si>
    <t>elevation</t>
  </si>
  <si>
    <t>250ft</t>
  </si>
  <si>
    <t>next_jan_1</t>
  </si>
  <si>
    <t>yr_total</t>
  </si>
  <si>
    <t>yr_rainday</t>
  </si>
  <si>
    <t>yr_wetday</t>
  </si>
  <si>
    <t>observer</t>
  </si>
  <si>
    <t>Richard M. Barrington</t>
  </si>
  <si>
    <t>train_loc</t>
  </si>
  <si>
    <t>Bray to Wicklow</t>
  </si>
  <si>
    <t>train_dist</t>
  </si>
  <si>
    <t>train_dir</t>
  </si>
  <si>
    <t>gauge_pattern</t>
  </si>
  <si>
    <t>Time of observation</t>
  </si>
  <si>
    <t>9am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</si>
</sst>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36"/>
  <sheetViews>
    <sheetView workbookViewId="0" showGridLines="0" defaultGridColor="1"/>
  </sheetViews>
  <sheetFormatPr defaultColWidth="8.83333" defaultRowHeight="15" customHeight="1" outlineLevelRow="0" outlineLevelCol="0"/>
  <cols>
    <col min="1" max="1" width="19.3516" style="1" customWidth="1"/>
    <col min="2" max="2" width="9.17188" style="1" customWidth="1"/>
    <col min="3" max="3" width="8.85156" style="1" customWidth="1"/>
    <col min="4" max="4" width="8.85156" style="1" customWidth="1"/>
    <col min="5" max="5" width="8.85156" style="1" customWidth="1"/>
    <col min="6" max="6" width="8.85156" style="1" customWidth="1"/>
    <col min="7" max="7" width="8.85156" style="1" customWidth="1"/>
    <col min="8" max="8" width="8.85156" style="1" customWidth="1"/>
    <col min="9" max="9" width="8.85156" style="1" customWidth="1"/>
    <col min="10" max="10" width="8.85156" style="1" customWidth="1"/>
    <col min="11" max="11" width="8.85156" style="1" customWidth="1"/>
    <col min="12" max="12" width="8.85156" style="1" customWidth="1"/>
    <col min="13" max="13" width="8.85156" style="1" customWidth="1"/>
    <col min="14" max="14" width="8.85156" style="1" customWidth="1"/>
    <col min="15" max="15" width="8.85156" style="1" customWidth="1"/>
    <col min="16" max="16" width="8.85156" style="1" customWidth="1"/>
    <col min="17" max="17" width="8.85156" style="1" customWidth="1"/>
    <col min="18" max="18" width="8.85156" style="1" customWidth="1"/>
    <col min="19" max="19" width="8.85156" style="1" customWidth="1"/>
    <col min="20" max="20" width="8.85156" style="1" customWidth="1"/>
    <col min="21" max="21" width="8.85156" style="1" customWidth="1"/>
    <col min="22" max="22" width="8.85156" style="1" customWidth="1"/>
    <col min="23" max="23" width="8.85156" style="1" customWidth="1"/>
    <col min="24" max="24" width="8.85156" style="1" customWidth="1"/>
    <col min="25" max="25" width="8.85156" style="1" customWidth="1"/>
    <col min="26" max="256" width="8.85156" style="1" customWidth="1"/>
  </cols>
  <sheetData>
    <row r="1" ht="15" customHeight="1">
      <c r="A1" t="s" s="2">
        <v>0</v>
      </c>
      <c r="B1" s="3">
        <v>7</v>
      </c>
      <c r="C1" s="4"/>
      <c r="D1" t="s" s="5">
        <v>0</v>
      </c>
      <c r="E1" t="s" s="5">
        <v>1</v>
      </c>
      <c r="F1" t="s" s="5">
        <v>2</v>
      </c>
      <c r="G1" t="s" s="5">
        <v>3</v>
      </c>
      <c r="H1" t="s" s="5">
        <v>4</v>
      </c>
      <c r="I1" t="s" s="5">
        <v>5</v>
      </c>
      <c r="J1" t="s" s="5">
        <v>6</v>
      </c>
      <c r="K1" t="s" s="5">
        <v>7</v>
      </c>
      <c r="L1" t="s" s="5">
        <v>8</v>
      </c>
      <c r="M1" t="s" s="5">
        <v>9</v>
      </c>
      <c r="N1" t="s" s="5">
        <v>10</v>
      </c>
      <c r="O1" t="s" s="5">
        <v>11</v>
      </c>
      <c r="P1" t="s" s="5">
        <v>12</v>
      </c>
      <c r="Q1" t="s" s="5">
        <v>13</v>
      </c>
      <c r="R1" t="s" s="5">
        <v>14</v>
      </c>
      <c r="S1" t="s" s="5">
        <v>15</v>
      </c>
      <c r="T1" t="s" s="5">
        <v>16</v>
      </c>
      <c r="U1" t="s" s="5">
        <v>17</v>
      </c>
      <c r="V1" t="s" s="5">
        <v>18</v>
      </c>
      <c r="W1" t="s" s="5">
        <v>19</v>
      </c>
      <c r="X1" s="6"/>
      <c r="Y1" t="s" s="7">
        <v>20</v>
      </c>
    </row>
    <row r="2" ht="15" customHeight="1">
      <c r="A2" t="s" s="2">
        <v>21</v>
      </c>
      <c r="B2" s="3">
        <v>5816</v>
      </c>
      <c r="C2" s="4"/>
      <c r="D2" s="8">
        <f t="shared" si="0" ref="D2:D32">($B$1)</f>
        <v>7</v>
      </c>
      <c r="E2" s="8">
        <f t="shared" si="1" ref="E2:E32">($B$2)</f>
        <v>5816</v>
      </c>
      <c r="F2" s="8">
        <v>1</v>
      </c>
      <c r="G2" s="8">
        <v>1</v>
      </c>
      <c r="H2" s="8">
        <v>0.39</v>
      </c>
      <c r="I2" s="8">
        <v>0.04</v>
      </c>
      <c r="J2" s="8">
        <v>0.05</v>
      </c>
      <c r="K2" s="8">
        <v>0.055</v>
      </c>
      <c r="L2" s="8">
        <v>0.025</v>
      </c>
      <c r="M2" s="4"/>
      <c r="N2" s="8">
        <v>0.03</v>
      </c>
      <c r="O2" s="8">
        <v>0.15</v>
      </c>
      <c r="P2" s="8">
        <v>0.22</v>
      </c>
      <c r="Q2" s="8">
        <v>0.87</v>
      </c>
      <c r="R2" s="4"/>
      <c r="S2" s="8">
        <v>0.15</v>
      </c>
      <c r="T2" s="8">
        <v>1</v>
      </c>
      <c r="U2" s="8">
        <v>2.69</v>
      </c>
      <c r="V2" s="8">
        <v>16</v>
      </c>
      <c r="W2" s="4"/>
      <c r="X2" s="9"/>
      <c r="Y2" s="10">
        <f>SUM(H2:H32)</f>
        <v>2.69</v>
      </c>
    </row>
    <row r="3" ht="15" customHeight="1">
      <c r="A3" t="s" s="2">
        <v>22</v>
      </c>
      <c r="B3" t="s" s="2">
        <v>23</v>
      </c>
      <c r="C3" s="4"/>
      <c r="D3" s="8">
        <f t="shared" si="0"/>
        <v>7</v>
      </c>
      <c r="E3" s="8">
        <f t="shared" si="1"/>
        <v>5816</v>
      </c>
      <c r="F3" s="8">
        <v>2</v>
      </c>
      <c r="G3" s="8">
        <v>2</v>
      </c>
      <c r="H3" s="4"/>
      <c r="I3" s="8">
        <v>0.62</v>
      </c>
      <c r="J3" s="8">
        <v>0.2</v>
      </c>
      <c r="K3" s="8">
        <v>0.075</v>
      </c>
      <c r="L3" s="4"/>
      <c r="M3" s="8">
        <v>0.09</v>
      </c>
      <c r="N3" s="8">
        <v>0.26</v>
      </c>
      <c r="O3" s="8">
        <v>0.03</v>
      </c>
      <c r="P3" s="8">
        <v>0.11</v>
      </c>
      <c r="Q3" s="8">
        <v>0.01</v>
      </c>
      <c r="R3" s="4"/>
      <c r="S3" s="8">
        <v>0.09</v>
      </c>
      <c r="T3" s="8">
        <v>2</v>
      </c>
      <c r="U3" s="8">
        <v>6.48</v>
      </c>
      <c r="V3" s="8">
        <v>19</v>
      </c>
      <c r="W3" s="4"/>
      <c r="X3" s="9"/>
      <c r="Y3" s="10">
        <f>SUM(I1:I36)</f>
        <v>6.480000000000001</v>
      </c>
    </row>
    <row r="4" ht="15" customHeight="1">
      <c r="A4" t="s" s="2">
        <v>24</v>
      </c>
      <c r="B4" t="s" s="2">
        <v>25</v>
      </c>
      <c r="C4" s="4"/>
      <c r="D4" s="8">
        <f t="shared" si="0"/>
        <v>7</v>
      </c>
      <c r="E4" s="8">
        <f t="shared" si="1"/>
        <v>5816</v>
      </c>
      <c r="F4" s="8">
        <v>3</v>
      </c>
      <c r="G4" s="8">
        <v>3</v>
      </c>
      <c r="H4" s="4"/>
      <c r="I4" s="8">
        <v>0.6899999999999999</v>
      </c>
      <c r="J4" s="4"/>
      <c r="K4" s="8">
        <v>0.02</v>
      </c>
      <c r="L4" s="4"/>
      <c r="M4" s="4"/>
      <c r="N4" s="8">
        <v>0.06</v>
      </c>
      <c r="O4" s="8">
        <v>0.16</v>
      </c>
      <c r="P4" s="4"/>
      <c r="Q4" s="4"/>
      <c r="R4" s="8">
        <v>0.37</v>
      </c>
      <c r="S4" s="8">
        <v>0.41</v>
      </c>
      <c r="T4" s="8">
        <v>3</v>
      </c>
      <c r="U4" s="8">
        <v>1.165</v>
      </c>
      <c r="V4" s="8">
        <v>11</v>
      </c>
      <c r="W4" s="4"/>
      <c r="X4" s="9"/>
      <c r="Y4" s="10">
        <f>SUM(J1:J36)</f>
        <v>1.165</v>
      </c>
    </row>
    <row r="5" ht="15" customHeight="1">
      <c r="A5" t="s" s="2">
        <v>26</v>
      </c>
      <c r="B5" s="11"/>
      <c r="C5" s="4"/>
      <c r="D5" s="8">
        <f t="shared" si="0"/>
        <v>7</v>
      </c>
      <c r="E5" s="8">
        <f t="shared" si="1"/>
        <v>5816</v>
      </c>
      <c r="F5" s="8">
        <v>4</v>
      </c>
      <c r="G5" s="8">
        <v>4</v>
      </c>
      <c r="H5" s="8">
        <v>0.05</v>
      </c>
      <c r="I5" s="4"/>
      <c r="J5" s="4"/>
      <c r="K5" s="4"/>
      <c r="L5" s="8">
        <v>0.1</v>
      </c>
      <c r="M5" s="8">
        <v>0.03</v>
      </c>
      <c r="N5" s="8">
        <v>0.07000000000000001</v>
      </c>
      <c r="O5" s="4"/>
      <c r="P5" s="4"/>
      <c r="Q5" s="4"/>
      <c r="R5" s="4"/>
      <c r="S5" s="8">
        <v>0.52</v>
      </c>
      <c r="T5" s="8">
        <v>4</v>
      </c>
      <c r="U5" s="8">
        <v>1.665</v>
      </c>
      <c r="V5" s="8">
        <v>18</v>
      </c>
      <c r="W5" s="4"/>
      <c r="X5" s="9"/>
      <c r="Y5" s="10">
        <f>SUM(K1:K36)</f>
        <v>1.665</v>
      </c>
    </row>
    <row r="6" ht="15" customHeight="1">
      <c r="A6" t="s" s="2">
        <v>27</v>
      </c>
      <c r="B6" s="11"/>
      <c r="C6" s="4"/>
      <c r="D6" s="8">
        <f t="shared" si="0"/>
        <v>7</v>
      </c>
      <c r="E6" s="8">
        <f t="shared" si="1"/>
        <v>5816</v>
      </c>
      <c r="F6" s="8">
        <v>5</v>
      </c>
      <c r="G6" s="8">
        <v>5</v>
      </c>
      <c r="H6" s="8">
        <v>0.15</v>
      </c>
      <c r="I6" s="8">
        <v>0.78</v>
      </c>
      <c r="J6" s="8">
        <v>0.01</v>
      </c>
      <c r="K6" s="8">
        <v>0.31</v>
      </c>
      <c r="L6" s="8">
        <v>0.01</v>
      </c>
      <c r="M6" s="8">
        <v>0.01</v>
      </c>
      <c r="N6" s="4"/>
      <c r="O6" s="8">
        <v>0.15</v>
      </c>
      <c r="P6" s="4"/>
      <c r="Q6" s="4"/>
      <c r="R6" s="4"/>
      <c r="S6" s="8">
        <v>0.41</v>
      </c>
      <c r="T6" s="8">
        <v>5</v>
      </c>
      <c r="U6" s="8">
        <v>2.965</v>
      </c>
      <c r="V6" s="8">
        <v>13</v>
      </c>
      <c r="W6" s="4"/>
      <c r="X6" s="9"/>
      <c r="Y6" s="10">
        <f>SUM(L1:L36)</f>
        <v>2.965</v>
      </c>
    </row>
    <row r="7" ht="15" customHeight="1">
      <c r="A7" t="s" s="2">
        <v>28</v>
      </c>
      <c r="B7" s="11"/>
      <c r="C7" s="4"/>
      <c r="D7" s="8">
        <f t="shared" si="0"/>
        <v>7</v>
      </c>
      <c r="E7" s="8">
        <f t="shared" si="1"/>
        <v>5816</v>
      </c>
      <c r="F7" s="8">
        <v>6</v>
      </c>
      <c r="G7" s="8">
        <v>6</v>
      </c>
      <c r="H7" s="4"/>
      <c r="I7" s="8">
        <v>0.2</v>
      </c>
      <c r="J7" s="4"/>
      <c r="K7" s="8">
        <v>0.04</v>
      </c>
      <c r="L7" s="4"/>
      <c r="M7" s="4"/>
      <c r="N7" s="8">
        <v>0.68</v>
      </c>
      <c r="O7" s="8">
        <v>0.19</v>
      </c>
      <c r="P7" s="4"/>
      <c r="Q7" s="4"/>
      <c r="R7" s="4"/>
      <c r="S7" s="8">
        <v>0.03</v>
      </c>
      <c r="T7" s="8">
        <v>6</v>
      </c>
      <c r="U7" s="8">
        <v>1.35</v>
      </c>
      <c r="V7" s="8">
        <v>12</v>
      </c>
      <c r="W7" s="4"/>
      <c r="X7" s="9"/>
      <c r="Y7" s="10">
        <f>SUM(M1:M36)</f>
        <v>1.35</v>
      </c>
    </row>
    <row r="8" ht="15" customHeight="1">
      <c r="A8" t="s" s="2">
        <v>29</v>
      </c>
      <c r="B8" s="11"/>
      <c r="C8" s="4"/>
      <c r="D8" s="8">
        <f t="shared" si="0"/>
        <v>7</v>
      </c>
      <c r="E8" s="8">
        <f t="shared" si="1"/>
        <v>5816</v>
      </c>
      <c r="F8" s="8">
        <v>7</v>
      </c>
      <c r="G8" s="8">
        <v>7</v>
      </c>
      <c r="H8" s="8">
        <v>0.1</v>
      </c>
      <c r="I8" s="8">
        <v>0.39</v>
      </c>
      <c r="J8" s="4"/>
      <c r="K8" s="8">
        <v>0.025</v>
      </c>
      <c r="L8" s="4"/>
      <c r="M8" s="4"/>
      <c r="N8" s="8">
        <v>0.39</v>
      </c>
      <c r="O8" s="8">
        <v>0.11</v>
      </c>
      <c r="P8" s="4"/>
      <c r="Q8" s="8">
        <v>1.44</v>
      </c>
      <c r="R8" s="4"/>
      <c r="S8" s="8">
        <v>0.03</v>
      </c>
      <c r="T8" s="8">
        <v>7</v>
      </c>
      <c r="U8" s="8">
        <v>6.44</v>
      </c>
      <c r="V8" s="8">
        <v>22</v>
      </c>
      <c r="W8" s="4"/>
      <c r="X8" s="9"/>
      <c r="Y8" s="10">
        <f>SUM(N1:N36)</f>
        <v>6.44</v>
      </c>
    </row>
    <row r="9" ht="15" customHeight="1">
      <c r="A9" t="s" s="2">
        <v>30</v>
      </c>
      <c r="B9" s="3">
        <v>1915</v>
      </c>
      <c r="C9" s="4"/>
      <c r="D9" s="8">
        <f t="shared" si="0"/>
        <v>7</v>
      </c>
      <c r="E9" s="8">
        <f t="shared" si="1"/>
        <v>5816</v>
      </c>
      <c r="F9" s="8">
        <v>8</v>
      </c>
      <c r="G9" s="8">
        <v>8</v>
      </c>
      <c r="H9" s="8">
        <v>0.12</v>
      </c>
      <c r="I9" s="8">
        <v>0.54</v>
      </c>
      <c r="J9" s="4"/>
      <c r="K9" s="8">
        <v>0.045</v>
      </c>
      <c r="L9" s="4"/>
      <c r="M9" s="4"/>
      <c r="N9" s="8">
        <v>0.16</v>
      </c>
      <c r="O9" s="8">
        <v>0.09</v>
      </c>
      <c r="P9" s="4"/>
      <c r="Q9" s="8">
        <v>0.15</v>
      </c>
      <c r="R9" s="8">
        <v>0.22</v>
      </c>
      <c r="S9" s="4"/>
      <c r="T9" s="8">
        <v>8</v>
      </c>
      <c r="U9" s="8">
        <v>1.51</v>
      </c>
      <c r="V9" s="8">
        <v>13</v>
      </c>
      <c r="W9" s="4"/>
      <c r="X9" s="9"/>
      <c r="Y9" s="10">
        <f>SUM(O1:O36)</f>
        <v>1.51</v>
      </c>
    </row>
    <row r="10" ht="15" customHeight="1">
      <c r="A10" t="s" s="2">
        <v>16</v>
      </c>
      <c r="B10" s="3">
        <v>1</v>
      </c>
      <c r="C10" s="4"/>
      <c r="D10" s="8">
        <f t="shared" si="0"/>
        <v>7</v>
      </c>
      <c r="E10" s="8">
        <f t="shared" si="1"/>
        <v>5816</v>
      </c>
      <c r="F10" s="8">
        <v>9</v>
      </c>
      <c r="G10" s="8">
        <v>9</v>
      </c>
      <c r="H10" s="8">
        <v>0.02</v>
      </c>
      <c r="I10" s="8">
        <v>0.035</v>
      </c>
      <c r="J10" s="4"/>
      <c r="K10" s="8">
        <v>0.225</v>
      </c>
      <c r="L10" s="4"/>
      <c r="M10" s="4"/>
      <c r="N10" s="4"/>
      <c r="O10" s="4"/>
      <c r="P10" s="4"/>
      <c r="Q10" s="8">
        <v>0.02</v>
      </c>
      <c r="R10" s="4"/>
      <c r="S10" s="8">
        <v>0.9</v>
      </c>
      <c r="T10" s="8">
        <v>9</v>
      </c>
      <c r="U10" s="8">
        <v>1.28</v>
      </c>
      <c r="V10" s="8">
        <v>7</v>
      </c>
      <c r="W10" s="4"/>
      <c r="X10" s="9"/>
      <c r="Y10" s="10">
        <f>SUM(P1:P36)</f>
        <v>1.28</v>
      </c>
    </row>
    <row r="11" ht="15" customHeight="1">
      <c r="A11" t="s" s="2">
        <v>3</v>
      </c>
      <c r="B11" s="3">
        <v>1</v>
      </c>
      <c r="C11" s="4"/>
      <c r="D11" s="8">
        <f t="shared" si="0"/>
        <v>7</v>
      </c>
      <c r="E11" s="8">
        <f t="shared" si="1"/>
        <v>5816</v>
      </c>
      <c r="F11" s="8">
        <v>10</v>
      </c>
      <c r="G11" s="8">
        <v>10</v>
      </c>
      <c r="H11" s="8">
        <v>0.4</v>
      </c>
      <c r="I11" s="8">
        <v>0.18</v>
      </c>
      <c r="J11" s="8">
        <v>0.035</v>
      </c>
      <c r="K11" s="8">
        <v>0.21</v>
      </c>
      <c r="L11" s="4"/>
      <c r="M11" s="8">
        <v>0.12</v>
      </c>
      <c r="N11" s="4"/>
      <c r="O11" s="4"/>
      <c r="P11" s="4"/>
      <c r="Q11" s="8">
        <v>0.14</v>
      </c>
      <c r="R11" s="4"/>
      <c r="S11" s="8">
        <v>0.05</v>
      </c>
      <c r="T11" s="8">
        <v>10</v>
      </c>
      <c r="U11" s="8">
        <v>7.615</v>
      </c>
      <c r="V11" s="8">
        <v>17</v>
      </c>
      <c r="W11" s="4"/>
      <c r="X11" s="9"/>
      <c r="Y11" s="10">
        <f>SUM(Q1:Q36)</f>
        <v>7.615</v>
      </c>
    </row>
    <row r="12" ht="15" customHeight="1">
      <c r="A12" t="s" s="2">
        <v>31</v>
      </c>
      <c r="B12" t="s" s="2">
        <v>25</v>
      </c>
      <c r="C12" s="4"/>
      <c r="D12" s="8">
        <f t="shared" si="0"/>
        <v>7</v>
      </c>
      <c r="E12" s="8">
        <f t="shared" si="1"/>
        <v>5816</v>
      </c>
      <c r="F12" s="8">
        <v>11</v>
      </c>
      <c r="G12" s="8">
        <v>11</v>
      </c>
      <c r="H12" s="8">
        <v>0.07000000000000001</v>
      </c>
      <c r="I12" s="8">
        <v>0.055</v>
      </c>
      <c r="J12" s="8">
        <v>0.05</v>
      </c>
      <c r="K12" s="4"/>
      <c r="L12" s="8">
        <v>0.08</v>
      </c>
      <c r="M12" s="8">
        <v>0.03</v>
      </c>
      <c r="N12" s="4"/>
      <c r="O12" s="8">
        <v>0.02</v>
      </c>
      <c r="P12" s="4"/>
      <c r="Q12" s="8">
        <v>0.08</v>
      </c>
      <c r="R12" s="8">
        <v>1.52</v>
      </c>
      <c r="S12" s="8">
        <v>0.01</v>
      </c>
      <c r="T12" s="8">
        <v>11</v>
      </c>
      <c r="U12" s="8">
        <v>4.235</v>
      </c>
      <c r="V12" s="8">
        <v>7</v>
      </c>
      <c r="W12" s="4"/>
      <c r="X12" s="9"/>
      <c r="Y12" s="10">
        <f>SUM(R1:R36)</f>
        <v>4.234999999999999</v>
      </c>
    </row>
    <row r="13" ht="15" customHeight="1">
      <c r="A13" t="s" s="2">
        <v>32</v>
      </c>
      <c r="B13" t="s" s="2">
        <v>33</v>
      </c>
      <c r="C13" s="4"/>
      <c r="D13" s="8">
        <f t="shared" si="0"/>
        <v>7</v>
      </c>
      <c r="E13" s="8">
        <f t="shared" si="1"/>
        <v>5816</v>
      </c>
      <c r="F13" s="8">
        <v>12</v>
      </c>
      <c r="G13" s="8">
        <v>12</v>
      </c>
      <c r="H13" s="8">
        <v>0.31</v>
      </c>
      <c r="I13" s="8">
        <v>0.5</v>
      </c>
      <c r="J13" s="4"/>
      <c r="K13" s="8">
        <v>0.04</v>
      </c>
      <c r="L13" s="8">
        <v>0.04</v>
      </c>
      <c r="M13" s="4"/>
      <c r="N13" s="4"/>
      <c r="O13" s="4"/>
      <c r="P13" s="4"/>
      <c r="Q13" s="4"/>
      <c r="R13" s="8">
        <v>1.735</v>
      </c>
      <c r="S13" s="8">
        <v>0.1</v>
      </c>
      <c r="T13" s="8">
        <v>12</v>
      </c>
      <c r="U13" s="8">
        <v>7.8</v>
      </c>
      <c r="V13" s="8">
        <v>27</v>
      </c>
      <c r="W13" s="4"/>
      <c r="X13" s="9"/>
      <c r="Y13" s="10">
        <f>SUM(S1:S36)</f>
        <v>7.800000000000001</v>
      </c>
    </row>
    <row r="14" ht="15" customHeight="1">
      <c r="A14" s="11"/>
      <c r="B14" s="11"/>
      <c r="C14" s="4"/>
      <c r="D14" s="8">
        <f t="shared" si="0"/>
        <v>7</v>
      </c>
      <c r="E14" s="8">
        <f t="shared" si="1"/>
        <v>5816</v>
      </c>
      <c r="F14" s="8">
        <v>13</v>
      </c>
      <c r="G14" s="8">
        <v>13</v>
      </c>
      <c r="H14" s="4"/>
      <c r="I14" s="8">
        <v>0.27</v>
      </c>
      <c r="J14" s="4"/>
      <c r="K14" s="8">
        <v>0.02</v>
      </c>
      <c r="L14" s="4"/>
      <c r="M14" s="4"/>
      <c r="N14" s="4"/>
      <c r="O14" s="8">
        <v>0.12</v>
      </c>
      <c r="P14" s="8">
        <v>0.18</v>
      </c>
      <c r="Q14" s="4"/>
      <c r="R14" s="4"/>
      <c r="S14" s="8">
        <v>0.13</v>
      </c>
      <c r="T14" s="4"/>
      <c r="U14" s="4"/>
      <c r="V14" s="4"/>
      <c r="W14" s="4"/>
      <c r="X14" s="4"/>
      <c r="Y14" s="12"/>
    </row>
    <row r="15" ht="15" customHeight="1">
      <c r="A15" t="s" s="2">
        <v>0</v>
      </c>
      <c r="B15" s="3">
        <v>7</v>
      </c>
      <c r="C15" s="4"/>
      <c r="D15" s="8">
        <f t="shared" si="0"/>
        <v>7</v>
      </c>
      <c r="E15" s="8">
        <f t="shared" si="1"/>
        <v>5816</v>
      </c>
      <c r="F15" s="8">
        <v>14</v>
      </c>
      <c r="G15" s="8">
        <v>14</v>
      </c>
      <c r="H15" s="8">
        <v>0.1</v>
      </c>
      <c r="I15" s="4"/>
      <c r="J15" s="4"/>
      <c r="K15" s="4"/>
      <c r="L15" s="4"/>
      <c r="M15" s="4"/>
      <c r="N15" s="8">
        <v>0.06</v>
      </c>
      <c r="O15" s="8">
        <v>0.07000000000000001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" customHeight="1">
      <c r="A16" t="s" s="2">
        <v>1</v>
      </c>
      <c r="B16" s="3">
        <v>5816</v>
      </c>
      <c r="C16" s="4"/>
      <c r="D16" s="8">
        <f t="shared" si="0"/>
        <v>7</v>
      </c>
      <c r="E16" s="8">
        <f t="shared" si="1"/>
        <v>5816</v>
      </c>
      <c r="F16" s="8">
        <v>15</v>
      </c>
      <c r="G16" s="8">
        <v>15</v>
      </c>
      <c r="H16" s="8">
        <v>0.51</v>
      </c>
      <c r="I16" s="4"/>
      <c r="J16" s="4"/>
      <c r="K16" s="8">
        <v>0.03</v>
      </c>
      <c r="L16" s="8">
        <v>0.34</v>
      </c>
      <c r="M16" s="4"/>
      <c r="N16" s="8">
        <v>0.11</v>
      </c>
      <c r="O16" s="8">
        <v>0.26</v>
      </c>
      <c r="P16" s="4"/>
      <c r="Q16" s="4"/>
      <c r="R16" s="4"/>
      <c r="S16" s="8">
        <v>0.14</v>
      </c>
      <c r="T16" s="4"/>
      <c r="U16" s="4"/>
      <c r="V16" s="4"/>
      <c r="W16" s="4"/>
      <c r="X16" s="4"/>
      <c r="Y16" s="4"/>
    </row>
    <row r="17" ht="15" customHeight="1">
      <c r="A17" t="s" s="2">
        <v>2</v>
      </c>
      <c r="B17" s="3">
        <v>1</v>
      </c>
      <c r="C17" s="4"/>
      <c r="D17" s="8">
        <f t="shared" si="0"/>
        <v>7</v>
      </c>
      <c r="E17" s="8">
        <f t="shared" si="1"/>
        <v>5816</v>
      </c>
      <c r="F17" s="8">
        <v>16</v>
      </c>
      <c r="G17" s="8">
        <v>16</v>
      </c>
      <c r="H17" s="4"/>
      <c r="I17" s="8">
        <v>1.04</v>
      </c>
      <c r="J17" s="4"/>
      <c r="K17" s="4"/>
      <c r="L17" s="8">
        <v>0.86</v>
      </c>
      <c r="M17" s="4"/>
      <c r="N17" s="8">
        <v>1.03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" customHeight="1">
      <c r="A18" t="s" s="2">
        <v>34</v>
      </c>
      <c r="B18" t="s" s="2">
        <f>(B4)</f>
        <v>25</v>
      </c>
      <c r="C18" s="4"/>
      <c r="D18" s="8">
        <f t="shared" si="0"/>
        <v>7</v>
      </c>
      <c r="E18" s="8">
        <f t="shared" si="1"/>
        <v>5816</v>
      </c>
      <c r="F18" s="8">
        <v>17</v>
      </c>
      <c r="G18" s="8">
        <v>17</v>
      </c>
      <c r="H18" s="4"/>
      <c r="I18" s="8">
        <v>0.32</v>
      </c>
      <c r="J18" s="8">
        <v>0.15</v>
      </c>
      <c r="K18" s="4"/>
      <c r="L18" s="8">
        <v>0.93</v>
      </c>
      <c r="M18" s="8">
        <v>0.03</v>
      </c>
      <c r="N18" s="8">
        <v>0.01</v>
      </c>
      <c r="O18" s="4"/>
      <c r="P18" s="4"/>
      <c r="Q18" s="4"/>
      <c r="R18" s="4"/>
      <c r="S18" s="8">
        <v>0.2</v>
      </c>
      <c r="T18" s="4"/>
      <c r="U18" s="4"/>
      <c r="V18" s="4"/>
      <c r="W18" s="4"/>
      <c r="X18" s="4"/>
      <c r="Y18" s="4"/>
    </row>
    <row r="19" ht="15" customHeight="1">
      <c r="A19" t="s" s="2">
        <v>30</v>
      </c>
      <c r="B19" s="3">
        <v>1915</v>
      </c>
      <c r="C19" s="4"/>
      <c r="D19" s="8">
        <f t="shared" si="0"/>
        <v>7</v>
      </c>
      <c r="E19" s="8">
        <f t="shared" si="1"/>
        <v>5816</v>
      </c>
      <c r="F19" s="8">
        <v>18</v>
      </c>
      <c r="G19" s="8">
        <v>18</v>
      </c>
      <c r="H19" s="4"/>
      <c r="I19" s="8">
        <v>0.05</v>
      </c>
      <c r="J19" s="4"/>
      <c r="K19" s="4"/>
      <c r="L19" s="8">
        <v>0.01</v>
      </c>
      <c r="M19" s="4"/>
      <c r="N19" s="4"/>
      <c r="O19" s="4"/>
      <c r="P19" s="4"/>
      <c r="Q19" s="8">
        <v>0.13</v>
      </c>
      <c r="R19" s="4"/>
      <c r="S19" s="8">
        <v>0.02</v>
      </c>
      <c r="T19" s="4"/>
      <c r="U19" s="4"/>
      <c r="V19" s="4"/>
      <c r="W19" s="4"/>
      <c r="X19" s="4"/>
      <c r="Y19" s="4"/>
    </row>
    <row r="20" ht="15" customHeight="1">
      <c r="A20" t="s" s="2">
        <v>35</v>
      </c>
      <c r="B20" t="s" s="2">
        <v>23</v>
      </c>
      <c r="C20" s="4"/>
      <c r="D20" s="8">
        <f t="shared" si="0"/>
        <v>7</v>
      </c>
      <c r="E20" s="8">
        <f t="shared" si="1"/>
        <v>5816</v>
      </c>
      <c r="F20" s="8">
        <v>19</v>
      </c>
      <c r="G20" s="8">
        <v>19</v>
      </c>
      <c r="H20" s="4"/>
      <c r="I20" s="4"/>
      <c r="J20" s="4"/>
      <c r="K20" s="8">
        <v>0.17</v>
      </c>
      <c r="L20" s="8">
        <v>0.51</v>
      </c>
      <c r="M20" s="4"/>
      <c r="N20" s="8">
        <v>0.06</v>
      </c>
      <c r="O20" s="4"/>
      <c r="P20" t="s" s="13">
        <v>36</v>
      </c>
      <c r="Q20" s="8">
        <v>1.47</v>
      </c>
      <c r="R20" s="4"/>
      <c r="S20" s="4"/>
      <c r="T20" s="4"/>
      <c r="U20" s="4"/>
      <c r="V20" s="4"/>
      <c r="W20" s="4"/>
      <c r="X20" s="4"/>
      <c r="Y20" s="4"/>
    </row>
    <row r="21" ht="15" customHeight="1">
      <c r="A21" t="s" s="2">
        <v>37</v>
      </c>
      <c r="B21" t="s" s="2">
        <v>38</v>
      </c>
      <c r="C21" s="4"/>
      <c r="D21" s="8">
        <f t="shared" si="0"/>
        <v>7</v>
      </c>
      <c r="E21" s="8">
        <f t="shared" si="1"/>
        <v>5816</v>
      </c>
      <c r="F21" s="8">
        <v>20</v>
      </c>
      <c r="G21" s="8">
        <v>20</v>
      </c>
      <c r="H21" s="8">
        <v>0.18</v>
      </c>
      <c r="I21" s="4"/>
      <c r="J21" s="4"/>
      <c r="K21" s="4"/>
      <c r="L21" s="8">
        <v>0.04</v>
      </c>
      <c r="M21" s="4"/>
      <c r="N21" s="4"/>
      <c r="O21" s="4"/>
      <c r="P21" s="4"/>
      <c r="Q21" s="8">
        <v>0.08</v>
      </c>
      <c r="R21" s="4"/>
      <c r="S21" s="8">
        <v>0.15</v>
      </c>
      <c r="T21" s="4"/>
      <c r="U21" s="4"/>
      <c r="V21" s="4"/>
      <c r="W21" s="4"/>
      <c r="X21" s="4"/>
      <c r="Y21" s="4"/>
    </row>
    <row r="22" ht="15" customHeight="1">
      <c r="A22" t="s" s="2">
        <v>39</v>
      </c>
      <c r="B22" t="s" s="2">
        <v>40</v>
      </c>
      <c r="C22" s="4"/>
      <c r="D22" s="8">
        <f t="shared" si="0"/>
        <v>7</v>
      </c>
      <c r="E22" s="8">
        <f t="shared" si="1"/>
        <v>5816</v>
      </c>
      <c r="F22" s="8">
        <v>21</v>
      </c>
      <c r="G22" s="8">
        <v>21</v>
      </c>
      <c r="H22" s="8">
        <v>0.07000000000000001</v>
      </c>
      <c r="I22" s="4"/>
      <c r="J22" s="4"/>
      <c r="K22" s="8">
        <v>0.11</v>
      </c>
      <c r="L22" s="4"/>
      <c r="M22" s="4"/>
      <c r="N22" s="8">
        <v>0.02</v>
      </c>
      <c r="O22" s="4"/>
      <c r="P22" s="4"/>
      <c r="Q22" s="8">
        <v>0.21</v>
      </c>
      <c r="R22" s="4"/>
      <c r="S22" s="8">
        <v>0.07000000000000001</v>
      </c>
      <c r="T22" s="4"/>
      <c r="U22" s="4"/>
      <c r="V22" s="4"/>
      <c r="W22" s="4"/>
      <c r="X22" s="4"/>
      <c r="Y22" s="4"/>
    </row>
    <row r="23" ht="15" customHeight="1">
      <c r="A23" t="s" s="2">
        <v>41</v>
      </c>
      <c r="B23" s="3">
        <v>0</v>
      </c>
      <c r="C23" s="4"/>
      <c r="D23" s="8">
        <f t="shared" si="0"/>
        <v>7</v>
      </c>
      <c r="E23" s="8">
        <f t="shared" si="1"/>
        <v>5816</v>
      </c>
      <c r="F23" s="8">
        <v>22</v>
      </c>
      <c r="G23" s="8">
        <v>22</v>
      </c>
      <c r="H23" s="8">
        <v>0.13</v>
      </c>
      <c r="I23" s="8">
        <v>0.01</v>
      </c>
      <c r="J23" s="8">
        <v>0.19</v>
      </c>
      <c r="K23" s="8">
        <v>0.01</v>
      </c>
      <c r="L23" s="4"/>
      <c r="M23" s="4"/>
      <c r="N23" s="8">
        <v>0.29</v>
      </c>
      <c r="O23" s="4"/>
      <c r="P23" s="8">
        <v>0.34</v>
      </c>
      <c r="Q23" s="8">
        <v>0.51</v>
      </c>
      <c r="R23" s="4"/>
      <c r="S23" s="8">
        <v>0.235</v>
      </c>
      <c r="T23" s="4"/>
      <c r="U23" s="4"/>
      <c r="V23" s="4"/>
      <c r="W23" s="4"/>
      <c r="X23" s="4"/>
      <c r="Y23" s="4"/>
    </row>
    <row r="24" ht="15" customHeight="1">
      <c r="A24" t="s" s="2">
        <v>42</v>
      </c>
      <c r="B24" s="3">
        <v>12</v>
      </c>
      <c r="C24" s="4"/>
      <c r="D24" s="8">
        <f t="shared" si="0"/>
        <v>7</v>
      </c>
      <c r="E24" s="8">
        <f t="shared" si="1"/>
        <v>5816</v>
      </c>
      <c r="F24" s="8">
        <v>23</v>
      </c>
      <c r="G24" s="8">
        <v>23</v>
      </c>
      <c r="H24" s="4"/>
      <c r="I24" s="4"/>
      <c r="J24" s="8">
        <v>0.01</v>
      </c>
      <c r="K24" s="8">
        <v>0.045</v>
      </c>
      <c r="L24" s="4"/>
      <c r="M24" s="8">
        <v>0.2</v>
      </c>
      <c r="N24" s="8">
        <v>0.14</v>
      </c>
      <c r="O24" s="4"/>
      <c r="P24" s="4"/>
      <c r="Q24" s="8">
        <v>0.28</v>
      </c>
      <c r="R24" s="4"/>
      <c r="S24" s="8">
        <v>0.14</v>
      </c>
      <c r="T24" s="4"/>
      <c r="U24" s="4"/>
      <c r="V24" s="4"/>
      <c r="W24" s="4"/>
      <c r="X24" s="4"/>
      <c r="Y24" s="4"/>
    </row>
    <row r="25" ht="15" customHeight="1">
      <c r="A25" t="s" s="2">
        <v>43</v>
      </c>
      <c r="B25" t="s" s="2">
        <v>44</v>
      </c>
      <c r="C25" s="4"/>
      <c r="D25" s="8">
        <f t="shared" si="0"/>
        <v>7</v>
      </c>
      <c r="E25" s="8">
        <f t="shared" si="1"/>
        <v>5816</v>
      </c>
      <c r="F25" s="8">
        <v>24</v>
      </c>
      <c r="G25" s="8">
        <v>24</v>
      </c>
      <c r="H25" s="4"/>
      <c r="I25" s="4"/>
      <c r="J25" s="8">
        <v>0.42</v>
      </c>
      <c r="K25" s="8">
        <v>0.015</v>
      </c>
      <c r="L25" s="4"/>
      <c r="M25" s="4"/>
      <c r="N25" s="8">
        <v>0.06</v>
      </c>
      <c r="O25" s="4"/>
      <c r="P25" s="8">
        <v>0.17</v>
      </c>
      <c r="Q25" s="8">
        <v>0.405</v>
      </c>
      <c r="R25" s="4"/>
      <c r="S25" s="8">
        <v>0.1</v>
      </c>
      <c r="T25" s="4"/>
      <c r="U25" s="4"/>
      <c r="V25" s="4"/>
      <c r="W25" s="4"/>
      <c r="X25" s="4"/>
      <c r="Y25" s="4"/>
    </row>
    <row r="26" ht="15" customHeight="1">
      <c r="A26" t="s" s="2">
        <v>45</v>
      </c>
      <c r="B26" s="11"/>
      <c r="C26" s="4"/>
      <c r="D26" s="8">
        <f t="shared" si="0"/>
        <v>7</v>
      </c>
      <c r="E26" s="8">
        <f t="shared" si="1"/>
        <v>5816</v>
      </c>
      <c r="F26" s="8">
        <v>25</v>
      </c>
      <c r="G26" s="8">
        <v>25</v>
      </c>
      <c r="H26" s="4"/>
      <c r="I26" s="4"/>
      <c r="J26" s="4"/>
      <c r="K26" s="4"/>
      <c r="L26" s="4"/>
      <c r="M26" s="8">
        <v>0.39</v>
      </c>
      <c r="N26" s="8">
        <v>0.18</v>
      </c>
      <c r="O26" s="4"/>
      <c r="P26" s="4"/>
      <c r="Q26" s="4"/>
      <c r="R26" s="8">
        <v>0.01</v>
      </c>
      <c r="S26" s="8">
        <v>0.025</v>
      </c>
      <c r="T26" s="4"/>
      <c r="U26" s="4"/>
      <c r="V26" s="4"/>
      <c r="W26" s="4"/>
      <c r="X26" s="4"/>
      <c r="Y26" s="4"/>
    </row>
    <row r="27" ht="15" customHeight="1">
      <c r="A27" t="s" s="2">
        <v>32</v>
      </c>
      <c r="B27" s="11"/>
      <c r="C27" s="4"/>
      <c r="D27" s="8">
        <f t="shared" si="0"/>
        <v>7</v>
      </c>
      <c r="E27" s="8">
        <f t="shared" si="1"/>
        <v>5816</v>
      </c>
      <c r="F27" s="8">
        <v>26</v>
      </c>
      <c r="G27" s="8">
        <v>26</v>
      </c>
      <c r="H27" s="8">
        <v>0.03</v>
      </c>
      <c r="I27" s="8">
        <v>0.5600000000000001</v>
      </c>
      <c r="J27" s="8">
        <v>0.03</v>
      </c>
      <c r="K27" s="4"/>
      <c r="L27" s="4"/>
      <c r="M27" s="8">
        <v>0.31</v>
      </c>
      <c r="N27" s="8">
        <v>0.34</v>
      </c>
      <c r="O27" s="4"/>
      <c r="P27" s="8">
        <v>0.03</v>
      </c>
      <c r="Q27" s="4"/>
      <c r="R27" s="4"/>
      <c r="S27" s="8">
        <v>0.88</v>
      </c>
      <c r="T27" s="4"/>
      <c r="U27" s="4"/>
      <c r="V27" s="4"/>
      <c r="W27" s="4"/>
      <c r="X27" s="4"/>
      <c r="Y27" s="4"/>
    </row>
    <row r="28" ht="15" customHeight="1">
      <c r="A28" t="s" s="2">
        <v>46</v>
      </c>
      <c r="B28" s="3">
        <v>45.195</v>
      </c>
      <c r="C28" s="4"/>
      <c r="D28" s="8">
        <f t="shared" si="0"/>
        <v>7</v>
      </c>
      <c r="E28" s="8">
        <f t="shared" si="1"/>
        <v>5816</v>
      </c>
      <c r="F28" s="8">
        <v>27</v>
      </c>
      <c r="G28" s="8">
        <v>27</v>
      </c>
      <c r="H28" s="4"/>
      <c r="I28" s="8">
        <v>0.08</v>
      </c>
      <c r="J28" s="4"/>
      <c r="K28" s="4"/>
      <c r="L28" s="4"/>
      <c r="M28" s="8">
        <v>0.09</v>
      </c>
      <c r="N28" s="8">
        <v>0.23</v>
      </c>
      <c r="O28" s="4"/>
      <c r="P28" s="4"/>
      <c r="Q28" s="8">
        <v>0.78</v>
      </c>
      <c r="R28" s="4"/>
      <c r="S28" s="8">
        <v>0.29</v>
      </c>
      <c r="T28" s="4"/>
      <c r="U28" s="4"/>
      <c r="V28" s="4"/>
      <c r="W28" s="4"/>
      <c r="X28" s="4"/>
      <c r="Y28" s="4"/>
    </row>
    <row r="29" ht="15" customHeight="1">
      <c r="A29" t="s" s="2">
        <v>47</v>
      </c>
      <c r="B29" s="3">
        <v>182</v>
      </c>
      <c r="C29" s="4"/>
      <c r="D29" s="8">
        <f t="shared" si="0"/>
        <v>7</v>
      </c>
      <c r="E29" s="8">
        <f t="shared" si="1"/>
        <v>5816</v>
      </c>
      <c r="F29" s="8">
        <v>28</v>
      </c>
      <c r="G29" s="8">
        <v>28</v>
      </c>
      <c r="H29" s="4"/>
      <c r="I29" s="8">
        <v>0.12</v>
      </c>
      <c r="J29" s="8">
        <v>0.02</v>
      </c>
      <c r="K29" s="4"/>
      <c r="L29" s="8">
        <v>0.01</v>
      </c>
      <c r="M29" s="4"/>
      <c r="N29" s="8">
        <v>0.04</v>
      </c>
      <c r="O29" s="8">
        <v>0.11</v>
      </c>
      <c r="P29" s="8">
        <v>0.23</v>
      </c>
      <c r="Q29" s="4"/>
      <c r="R29" s="4"/>
      <c r="S29" s="8">
        <v>0.25</v>
      </c>
      <c r="T29" s="4"/>
      <c r="U29" s="4"/>
      <c r="V29" s="4"/>
      <c r="W29" s="4"/>
      <c r="X29" s="4"/>
      <c r="Y29" s="4"/>
    </row>
    <row r="30" ht="15" customHeight="1">
      <c r="A30" t="s" s="2">
        <v>48</v>
      </c>
      <c r="B30" s="11"/>
      <c r="C30" s="4"/>
      <c r="D30" s="8">
        <f t="shared" si="0"/>
        <v>7</v>
      </c>
      <c r="E30" s="8">
        <f t="shared" si="1"/>
        <v>5816</v>
      </c>
      <c r="F30" s="8">
        <v>29</v>
      </c>
      <c r="G30" s="8">
        <v>29</v>
      </c>
      <c r="H30" s="4"/>
      <c r="I30" s="4"/>
      <c r="J30" s="4"/>
      <c r="K30" s="4"/>
      <c r="L30" s="8">
        <v>0.01</v>
      </c>
      <c r="M30" s="8">
        <v>0.02</v>
      </c>
      <c r="N30" s="8">
        <v>0.54</v>
      </c>
      <c r="O30" s="4"/>
      <c r="P30" s="4"/>
      <c r="Q30" s="4"/>
      <c r="R30" s="8">
        <v>0.32</v>
      </c>
      <c r="S30" s="8">
        <v>0.53</v>
      </c>
      <c r="T30" s="4"/>
      <c r="U30" s="4"/>
      <c r="V30" s="4"/>
      <c r="W30" s="4"/>
      <c r="X30" s="4"/>
      <c r="Y30" s="4"/>
    </row>
    <row r="31" ht="15" customHeight="1">
      <c r="A31" t="s" s="2">
        <v>49</v>
      </c>
      <c r="B31" t="s" s="2">
        <v>50</v>
      </c>
      <c r="C31" s="4"/>
      <c r="D31" s="8">
        <f t="shared" si="0"/>
        <v>7</v>
      </c>
      <c r="E31" s="8">
        <f t="shared" si="1"/>
        <v>5816</v>
      </c>
      <c r="F31" s="8">
        <v>30</v>
      </c>
      <c r="G31" s="8">
        <v>30</v>
      </c>
      <c r="H31" s="8">
        <v>0.06</v>
      </c>
      <c r="I31" s="4"/>
      <c r="J31" s="4"/>
      <c r="K31" s="8">
        <v>0.22</v>
      </c>
      <c r="L31" s="4"/>
      <c r="M31" s="8">
        <v>0.03</v>
      </c>
      <c r="N31" s="4"/>
      <c r="O31" s="4"/>
      <c r="P31" s="4"/>
      <c r="Q31" s="8">
        <v>0.99</v>
      </c>
      <c r="R31" s="8">
        <v>0.06</v>
      </c>
      <c r="S31" s="8">
        <v>0.79</v>
      </c>
      <c r="T31" s="4"/>
      <c r="U31" s="4"/>
      <c r="V31" s="4"/>
      <c r="W31" s="4"/>
      <c r="X31" s="4"/>
      <c r="Y31" s="4"/>
    </row>
    <row r="32" ht="15" customHeight="1">
      <c r="A32" t="s" s="2">
        <v>51</v>
      </c>
      <c r="B32" t="s" s="2">
        <v>52</v>
      </c>
      <c r="C32" s="4"/>
      <c r="D32" s="8">
        <f t="shared" si="0"/>
        <v>7</v>
      </c>
      <c r="E32" s="8">
        <f t="shared" si="1"/>
        <v>5816</v>
      </c>
      <c r="F32" s="8">
        <v>31</v>
      </c>
      <c r="G32" s="8">
        <v>31</v>
      </c>
      <c r="H32" s="4"/>
      <c r="I32" s="4"/>
      <c r="J32" s="4"/>
      <c r="K32" s="4"/>
      <c r="L32" s="4"/>
      <c r="M32" s="4"/>
      <c r="N32" s="8">
        <v>1.68</v>
      </c>
      <c r="O32" s="8">
        <v>0.05</v>
      </c>
      <c r="P32" s="4"/>
      <c r="Q32" s="8">
        <v>0.05</v>
      </c>
      <c r="R32" s="4"/>
      <c r="S32" s="8">
        <v>1.15</v>
      </c>
      <c r="T32" s="4"/>
      <c r="U32" s="4"/>
      <c r="V32" s="4"/>
      <c r="W32" s="4"/>
      <c r="X32" s="4"/>
      <c r="Y32" s="4"/>
    </row>
    <row r="33" ht="15" customHeight="1">
      <c r="A33" t="s" s="2">
        <v>53</v>
      </c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" customHeight="1">
      <c r="A34" t="s" s="2">
        <v>54</v>
      </c>
      <c r="B34" s="1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" customHeight="1">
      <c r="A35" t="s" s="2">
        <v>55</v>
      </c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" customHeight="1">
      <c r="A36" t="s" s="2">
        <v>56</v>
      </c>
      <c r="B36" t="s" s="2">
        <v>57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4" customWidth="1"/>
    <col min="2" max="2" width="8.85156" style="14" customWidth="1"/>
    <col min="3" max="3" width="8.85156" style="14" customWidth="1"/>
    <col min="4" max="4" width="8.85156" style="14" customWidth="1"/>
    <col min="5" max="5" width="8.85156" style="14" customWidth="1"/>
    <col min="6" max="256" width="8.85156" style="14" customWidth="1"/>
  </cols>
  <sheetData>
    <row r="1" ht="15" customHeight="1">
      <c r="A1" s="4"/>
      <c r="B1" s="4"/>
      <c r="C1" s="4"/>
      <c r="D1" s="4"/>
      <c r="E1" s="4"/>
    </row>
    <row r="2" ht="15" customHeight="1">
      <c r="A2" s="4"/>
      <c r="B2" s="4"/>
      <c r="C2" s="4"/>
      <c r="D2" s="4"/>
      <c r="E2" s="4"/>
    </row>
    <row r="3" ht="15" customHeight="1">
      <c r="A3" s="4"/>
      <c r="B3" s="4"/>
      <c r="C3" s="4"/>
      <c r="D3" s="4"/>
      <c r="E3" s="4"/>
    </row>
    <row r="4" ht="15" customHeight="1">
      <c r="A4" s="4"/>
      <c r="B4" s="4"/>
      <c r="C4" s="4"/>
      <c r="D4" s="4"/>
      <c r="E4" s="4"/>
    </row>
    <row r="5" ht="15" customHeight="1">
      <c r="A5" s="4"/>
      <c r="B5" s="4"/>
      <c r="C5" s="4"/>
      <c r="D5" s="4"/>
      <c r="E5" s="4"/>
    </row>
    <row r="6" ht="15" customHeight="1">
      <c r="A6" s="4"/>
      <c r="B6" s="4"/>
      <c r="C6" s="4"/>
      <c r="D6" s="4"/>
      <c r="E6" s="4"/>
    </row>
    <row r="7" ht="15" customHeight="1">
      <c r="A7" s="4"/>
      <c r="B7" s="4"/>
      <c r="C7" s="4"/>
      <c r="D7" s="4"/>
      <c r="E7" s="4"/>
    </row>
    <row r="8" ht="15" customHeight="1">
      <c r="A8" s="4"/>
      <c r="B8" s="4"/>
      <c r="C8" s="4"/>
      <c r="D8" s="4"/>
      <c r="E8" s="4"/>
    </row>
    <row r="9" ht="15" customHeight="1">
      <c r="A9" s="4"/>
      <c r="B9" s="4"/>
      <c r="C9" s="4"/>
      <c r="D9" s="4"/>
      <c r="E9" s="4"/>
    </row>
    <row r="10" ht="15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5" customWidth="1"/>
    <col min="2" max="2" width="8.85156" style="15" customWidth="1"/>
    <col min="3" max="3" width="8.85156" style="15" customWidth="1"/>
    <col min="4" max="4" width="8.85156" style="15" customWidth="1"/>
    <col min="5" max="5" width="8.85156" style="15" customWidth="1"/>
    <col min="6" max="256" width="8.85156" style="15" customWidth="1"/>
  </cols>
  <sheetData>
    <row r="1" ht="15" customHeight="1">
      <c r="A1" s="4"/>
      <c r="B1" s="4"/>
      <c r="C1" s="4"/>
      <c r="D1" s="4"/>
      <c r="E1" s="4"/>
    </row>
    <row r="2" ht="15" customHeight="1">
      <c r="A2" s="4"/>
      <c r="B2" s="4"/>
      <c r="C2" s="4"/>
      <c r="D2" s="4"/>
      <c r="E2" s="4"/>
    </row>
    <row r="3" ht="15" customHeight="1">
      <c r="A3" s="4"/>
      <c r="B3" s="4"/>
      <c r="C3" s="4"/>
      <c r="D3" s="4"/>
      <c r="E3" s="4"/>
    </row>
    <row r="4" ht="15" customHeight="1">
      <c r="A4" s="4"/>
      <c r="B4" s="4"/>
      <c r="C4" s="4"/>
      <c r="D4" s="4"/>
      <c r="E4" s="4"/>
    </row>
    <row r="5" ht="15" customHeight="1">
      <c r="A5" s="4"/>
      <c r="B5" s="4"/>
      <c r="C5" s="4"/>
      <c r="D5" s="4"/>
      <c r="E5" s="4"/>
    </row>
    <row r="6" ht="15" customHeight="1">
      <c r="A6" s="4"/>
      <c r="B6" s="4"/>
      <c r="C6" s="4"/>
      <c r="D6" s="4"/>
      <c r="E6" s="4"/>
    </row>
    <row r="7" ht="15" customHeight="1">
      <c r="A7" s="4"/>
      <c r="B7" s="4"/>
      <c r="C7" s="4"/>
      <c r="D7" s="4"/>
      <c r="E7" s="4"/>
    </row>
    <row r="8" ht="15" customHeight="1">
      <c r="A8" s="4"/>
      <c r="B8" s="4"/>
      <c r="C8" s="4"/>
      <c r="D8" s="4"/>
      <c r="E8" s="4"/>
    </row>
    <row r="9" ht="15" customHeight="1">
      <c r="A9" s="4"/>
      <c r="B9" s="4"/>
      <c r="C9" s="4"/>
      <c r="D9" s="4"/>
      <c r="E9" s="4"/>
    </row>
    <row r="10" ht="15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