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13590" windowHeight="8595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<sst xmlns="http://schemas.openxmlformats.org/spreadsheetml/2006/main" count="148" uniqueCount="57">
  <si>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</si>
  <si>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</si>
  <si>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</si>
  <si>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</si>
  <si>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</si>
  <si>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</si>
  <si>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</si>
  <si>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</si>
  <si>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</si>
  <si>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</si>
  <si>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</si>
  <si>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</si>
  <si>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</si>
  <si>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</si>
  <si>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</si>
  <si>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</si>
  <si>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</si>
  <si>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</si>
  <si>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</si>
  <si>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</si>
  <si>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</si>
  <si>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</si>
  <si>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</si>
  <si>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</si>
  <si>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</si>
  <si>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</si>
  <si>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</si>
  <si>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</si>
  <si>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</si>
  <si>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</si>
  <si>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</si>
  <si>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</si>
  <si>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</si>
  <si>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</si>
  <si>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</si>
  <si>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</si>
  <si>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</si>
  <si>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</si>
  <si>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</si>
  <si>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</si>
  <si>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</si>
  <si>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</si>
  <si>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</si>
  <si>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</si>
  <si>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</si>
  <si>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</si>
  <si>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</si>
  <si>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</si>
  <si>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</si>
  <si>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Ballinasloe Asylum</t>
  </si>
  <si>
    <t>Good condition</t>
  </si>
  <si>
    <t>Galway</t>
  </si>
  <si>
    <t>5inch</t>
  </si>
  <si>
    <t>154ft</t>
  </si>
  <si>
    <t>Dr. J. L. Kirwan</t>
  </si>
  <si>
    <t>Ballinasloe</t>
  </si>
  <si>
    <t>9am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</si>
</sst>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/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50" zoomScaleNormal="50" workbookViewId="0">
      <selection activeCell="Y26" sqref="Y26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3675</v>
      </c>
      <c r="D2">
        <f>($B$1)</f>
        <v>5</v>
      </c>
      <c r="E2">
        <f>($B$2)</f>
        <v>3675</v>
      </c>
      <c r="F2">
        <v>1</v>
      </c>
      <c r="G2">
        <v>1</v>
      </c>
      <c r="H2">
        <v>0.02</v>
      </c>
      <c r="I2">
        <v>0.23</v>
      </c>
      <c r="J2">
        <v>0.7</v>
      </c>
      <c r="K2">
        <v>0.1</v>
      </c>
      <c r="L2">
        <v>0.03</v>
      </c>
      <c r="M2">
        <v>0.09</v>
      </c>
      <c r="N2">
        <v>0.06</v>
      </c>
      <c r="O2">
        <v>0.01</v>
      </c>
      <c r="Q2">
        <v>0.15</v>
      </c>
      <c r="R2">
        <v>0.16</v>
      </c>
      <c r="S2">
        <v>0.02</v>
      </c>
      <c r="T2">
        <v>1</v>
      </c>
      <c r="U2">
        <v>3.43</v>
      </c>
      <c r="V2">
        <v>21</v>
      </c>
      <c r="Y2" s="2">
        <f>SUM(H2:H32)</f>
        <v>3.4299999999999988</v>
      </c>
    </row>
    <row r="3" spans="1:25" x14ac:dyDescent="0.25">
      <c r="A3" s="1" t="s">
        <v>2</v>
      </c>
      <c r="B3" s="6" t="s">
        <v>49</v>
      </c>
      <c r="D3">
        <f t="shared" ref="D3:D32" si="0">($B$1)</f>
        <v>5</v>
      </c>
      <c r="E3">
        <f t="shared" ref="E3:E32" si="1">($B$2)</f>
        <v>3675</v>
      </c>
      <c r="F3">
        <v>2</v>
      </c>
      <c r="G3">
        <v>2</v>
      </c>
      <c r="K3">
        <v>0.06</v>
      </c>
      <c r="L3">
        <v>0.08</v>
      </c>
      <c r="N3">
        <v>0.04</v>
      </c>
      <c r="O3">
        <v>7.0000000000000007E-2</v>
      </c>
      <c r="Q3">
        <v>0.34</v>
      </c>
      <c r="R3">
        <v>0.15</v>
      </c>
      <c r="S3">
        <v>0.03</v>
      </c>
      <c r="T3">
        <v>2</v>
      </c>
      <c r="U3">
        <v>4.6500000000000004</v>
      </c>
      <c r="V3">
        <v>27</v>
      </c>
      <c r="Y3" s="2">
        <f>SUM(I:I)</f>
        <v>4.6500000000000004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3675</v>
      </c>
      <c r="F4">
        <v>3</v>
      </c>
      <c r="G4">
        <v>3</v>
      </c>
      <c r="I4">
        <v>7.0000000000000007E-2</v>
      </c>
      <c r="K4">
        <v>0.03</v>
      </c>
      <c r="L4">
        <v>0.11</v>
      </c>
      <c r="M4">
        <v>0.17</v>
      </c>
      <c r="N4">
        <v>0.01</v>
      </c>
      <c r="O4">
        <v>0.08</v>
      </c>
      <c r="Q4">
        <v>0.01</v>
      </c>
      <c r="R4">
        <v>0.21</v>
      </c>
      <c r="T4">
        <v>3</v>
      </c>
      <c r="U4">
        <v>2.06</v>
      </c>
      <c r="V4">
        <v>8</v>
      </c>
      <c r="Y4" s="2">
        <f>SUM(J:J)</f>
        <v>2.0599999999999996</v>
      </c>
    </row>
    <row r="5" spans="1:25" x14ac:dyDescent="0.25">
      <c r="A5" s="1" t="s">
        <v>4</v>
      </c>
      <c r="D5">
        <f t="shared" si="0"/>
        <v>5</v>
      </c>
      <c r="E5">
        <f t="shared" si="1"/>
        <v>3675</v>
      </c>
      <c r="F5">
        <v>4</v>
      </c>
      <c r="G5">
        <v>4</v>
      </c>
      <c r="I5">
        <v>0.11</v>
      </c>
      <c r="K5">
        <v>0.01</v>
      </c>
      <c r="L5">
        <v>0.14000000000000001</v>
      </c>
      <c r="M5">
        <v>0.05</v>
      </c>
      <c r="N5">
        <v>0.24</v>
      </c>
      <c r="O5">
        <v>0.1</v>
      </c>
      <c r="R5">
        <v>0.06</v>
      </c>
      <c r="S5">
        <v>0.04</v>
      </c>
      <c r="T5">
        <v>4</v>
      </c>
      <c r="U5">
        <v>2.89</v>
      </c>
      <c r="V5">
        <v>21</v>
      </c>
      <c r="Y5" s="2">
        <f>SUM(K:K)</f>
        <v>2.8900000000000006</v>
      </c>
    </row>
    <row r="6" spans="1:25" x14ac:dyDescent="0.25">
      <c r="A6" s="1" t="s">
        <v>5</v>
      </c>
      <c r="D6">
        <f t="shared" si="0"/>
        <v>5</v>
      </c>
      <c r="E6">
        <f t="shared" si="1"/>
        <v>3675</v>
      </c>
      <c r="F6">
        <v>5</v>
      </c>
      <c r="G6">
        <v>5</v>
      </c>
      <c r="I6">
        <v>0.09</v>
      </c>
      <c r="L6">
        <v>0.08</v>
      </c>
      <c r="M6">
        <v>0.6</v>
      </c>
      <c r="N6">
        <v>0.04</v>
      </c>
      <c r="P6">
        <v>0.11</v>
      </c>
      <c r="S6">
        <v>0.04</v>
      </c>
      <c r="T6">
        <v>5</v>
      </c>
      <c r="U6">
        <v>1.57</v>
      </c>
      <c r="V6">
        <v>16</v>
      </c>
      <c r="Y6" s="2">
        <f>SUM(L:L)</f>
        <v>1.5700000000000003</v>
      </c>
    </row>
    <row r="7" spans="1:25" x14ac:dyDescent="0.25">
      <c r="A7" s="1" t="s">
        <v>6</v>
      </c>
      <c r="D7">
        <f t="shared" si="0"/>
        <v>5</v>
      </c>
      <c r="E7">
        <f t="shared" si="1"/>
        <v>3675</v>
      </c>
      <c r="F7">
        <v>6</v>
      </c>
      <c r="G7">
        <v>6</v>
      </c>
      <c r="I7">
        <v>0.14000000000000001</v>
      </c>
      <c r="J7">
        <v>7.0000000000000007E-2</v>
      </c>
      <c r="L7">
        <v>0.13</v>
      </c>
      <c r="M7">
        <v>0.11</v>
      </c>
      <c r="O7">
        <v>0.02</v>
      </c>
      <c r="R7">
        <v>0.26</v>
      </c>
      <c r="S7">
        <v>0.01</v>
      </c>
      <c r="T7">
        <v>6</v>
      </c>
      <c r="U7">
        <v>4.24</v>
      </c>
      <c r="V7">
        <v>19</v>
      </c>
      <c r="Y7" s="2">
        <f>SUM(M:M)</f>
        <v>4.24</v>
      </c>
    </row>
    <row r="8" spans="1:25" x14ac:dyDescent="0.25">
      <c r="A8" s="1" t="s">
        <v>7</v>
      </c>
      <c r="D8">
        <f t="shared" si="0"/>
        <v>5</v>
      </c>
      <c r="E8">
        <f t="shared" si="1"/>
        <v>3675</v>
      </c>
      <c r="F8">
        <v>7</v>
      </c>
      <c r="G8">
        <v>7</v>
      </c>
      <c r="H8">
        <v>0.01</v>
      </c>
      <c r="I8">
        <v>0.17</v>
      </c>
      <c r="J8">
        <v>0.15</v>
      </c>
      <c r="L8">
        <v>0.13</v>
      </c>
      <c r="M8">
        <v>0.53</v>
      </c>
      <c r="O8">
        <v>0.34</v>
      </c>
      <c r="S8">
        <v>0.11</v>
      </c>
      <c r="T8">
        <v>7</v>
      </c>
      <c r="U8">
        <v>2.5</v>
      </c>
      <c r="V8">
        <v>17</v>
      </c>
      <c r="Y8" s="2">
        <f>SUM(N:N)</f>
        <v>2.5000000000000004</v>
      </c>
    </row>
    <row r="9" spans="1:25" x14ac:dyDescent="0.25">
      <c r="A9" s="1" t="s">
        <v>8</v>
      </c>
      <c r="B9" s="3">
        <v>1910</v>
      </c>
      <c r="D9">
        <f t="shared" si="0"/>
        <v>5</v>
      </c>
      <c r="E9">
        <f t="shared" si="1"/>
        <v>3675</v>
      </c>
      <c r="F9">
        <v>8</v>
      </c>
      <c r="G9">
        <v>8</v>
      </c>
      <c r="H9">
        <v>0.14000000000000001</v>
      </c>
      <c r="I9">
        <v>0.02</v>
      </c>
      <c r="J9">
        <v>0.35</v>
      </c>
      <c r="M9">
        <v>7.0000000000000007E-2</v>
      </c>
      <c r="Q9">
        <v>0.01</v>
      </c>
      <c r="R9">
        <v>0.13</v>
      </c>
      <c r="S9">
        <v>0.09</v>
      </c>
      <c r="T9">
        <v>8</v>
      </c>
      <c r="U9">
        <v>4.78</v>
      </c>
      <c r="V9">
        <v>24</v>
      </c>
      <c r="Y9" s="2">
        <f>SUM(O:O)</f>
        <v>4.7799999999999994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3675</v>
      </c>
      <c r="F10">
        <v>9</v>
      </c>
      <c r="G10">
        <v>9</v>
      </c>
      <c r="H10">
        <v>0.21</v>
      </c>
      <c r="I10">
        <v>0.03</v>
      </c>
      <c r="J10">
        <v>0.44</v>
      </c>
      <c r="L10">
        <v>0.02</v>
      </c>
      <c r="R10">
        <v>0.14000000000000001</v>
      </c>
      <c r="S10">
        <v>0.18</v>
      </c>
      <c r="T10">
        <v>9</v>
      </c>
      <c r="U10">
        <v>0.93</v>
      </c>
      <c r="V10">
        <v>7</v>
      </c>
      <c r="Y10" s="2">
        <f>SUM(P:P)</f>
        <v>0.92999999999999994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3675</v>
      </c>
      <c r="F11">
        <v>10</v>
      </c>
      <c r="G11">
        <v>10</v>
      </c>
      <c r="H11">
        <v>0.63</v>
      </c>
      <c r="I11">
        <v>0.23</v>
      </c>
      <c r="P11">
        <v>0.08</v>
      </c>
      <c r="R11">
        <v>0.03</v>
      </c>
      <c r="S11">
        <v>0.27</v>
      </c>
      <c r="T11">
        <v>10</v>
      </c>
      <c r="U11">
        <v>1.28</v>
      </c>
      <c r="V11">
        <v>14</v>
      </c>
      <c r="Y11" s="2">
        <f>SUM(Q:Q)</f>
        <v>1.2799999999999998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3675</v>
      </c>
      <c r="F12">
        <v>11</v>
      </c>
      <c r="G12">
        <v>11</v>
      </c>
      <c r="H12">
        <v>0.37</v>
      </c>
      <c r="I12">
        <v>0.04</v>
      </c>
      <c r="K12">
        <v>0.16</v>
      </c>
      <c r="O12">
        <v>0.32</v>
      </c>
      <c r="Q12">
        <v>0.08</v>
      </c>
      <c r="R12">
        <v>0.35</v>
      </c>
      <c r="S12">
        <v>0.02</v>
      </c>
      <c r="T12">
        <v>11</v>
      </c>
      <c r="U12">
        <v>3.12</v>
      </c>
      <c r="V12">
        <v>19</v>
      </c>
      <c r="Y12" s="2">
        <f>SUM(R:R)</f>
        <v>3.12</v>
      </c>
    </row>
    <row r="13" spans="1:25" x14ac:dyDescent="0.25">
      <c r="A13" s="1" t="s">
        <v>12</v>
      </c>
      <c r="B13" s="3" t="s">
        <v>50</v>
      </c>
      <c r="D13">
        <f t="shared" si="0"/>
        <v>5</v>
      </c>
      <c r="E13">
        <f t="shared" si="1"/>
        <v>3675</v>
      </c>
      <c r="F13">
        <v>12</v>
      </c>
      <c r="G13">
        <v>12</v>
      </c>
      <c r="H13">
        <v>0.01</v>
      </c>
      <c r="I13">
        <v>0.02</v>
      </c>
      <c r="K13">
        <v>0.32</v>
      </c>
      <c r="L13">
        <v>0.06</v>
      </c>
      <c r="M13">
        <v>0.12</v>
      </c>
      <c r="O13">
        <v>0.14000000000000001</v>
      </c>
      <c r="Q13">
        <v>0.02</v>
      </c>
      <c r="R13">
        <v>0.06</v>
      </c>
      <c r="S13">
        <v>0.3</v>
      </c>
      <c r="T13">
        <v>12</v>
      </c>
      <c r="U13">
        <v>2.94</v>
      </c>
      <c r="V13">
        <v>22</v>
      </c>
      <c r="Y13" s="2">
        <f>SUM(S:S)</f>
        <v>2.9399999999999995</v>
      </c>
    </row>
    <row r="14" spans="1:25" x14ac:dyDescent="0.25">
      <c r="D14">
        <f t="shared" si="0"/>
        <v>5</v>
      </c>
      <c r="E14">
        <f t="shared" si="1"/>
        <v>3675</v>
      </c>
      <c r="F14">
        <v>13</v>
      </c>
      <c r="G14">
        <v>13</v>
      </c>
      <c r="H14">
        <v>0.2</v>
      </c>
      <c r="I14">
        <v>0.14000000000000001</v>
      </c>
      <c r="O14">
        <v>0.01</v>
      </c>
      <c r="Q14">
        <v>0.09</v>
      </c>
      <c r="R14">
        <v>0.35</v>
      </c>
      <c r="S14">
        <v>0.19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3675</v>
      </c>
      <c r="F15">
        <v>14</v>
      </c>
      <c r="G15">
        <v>14</v>
      </c>
      <c r="H15">
        <v>0.2</v>
      </c>
      <c r="I15">
        <v>0.12</v>
      </c>
      <c r="J15">
        <v>0.13</v>
      </c>
      <c r="K15">
        <v>0.38</v>
      </c>
      <c r="L15"/>
      <c r="M15"/>
      <c r="N15"/>
      <c r="O15">
        <v>0.74</v>
      </c>
      <c r="P15"/>
      <c r="Q15"/>
      <c r="R15"/>
      <c r="S15">
        <v>0.15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3675</v>
      </c>
      <c r="D16">
        <f t="shared" si="0"/>
        <v>5</v>
      </c>
      <c r="E16">
        <f t="shared" si="1"/>
        <v>3675</v>
      </c>
      <c r="F16">
        <v>15</v>
      </c>
      <c r="G16">
        <v>15</v>
      </c>
      <c r="H16">
        <v>0.41</v>
      </c>
      <c r="I16">
        <v>0.05</v>
      </c>
      <c r="K16">
        <v>0.09</v>
      </c>
      <c r="L16">
        <v>0.04</v>
      </c>
      <c r="O16">
        <v>0.03</v>
      </c>
      <c r="R16">
        <v>0.34</v>
      </c>
      <c r="S16">
        <v>0.97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3675</v>
      </c>
      <c r="F17">
        <v>16</v>
      </c>
      <c r="G17">
        <v>16</v>
      </c>
      <c r="H17">
        <v>0.2</v>
      </c>
      <c r="I17">
        <v>0.17</v>
      </c>
      <c r="J17">
        <v>0.17</v>
      </c>
      <c r="K17">
        <v>0.04</v>
      </c>
      <c r="O17">
        <v>0.11</v>
      </c>
      <c r="Q17">
        <v>0.02</v>
      </c>
      <c r="R17">
        <v>0.02</v>
      </c>
      <c r="S17">
        <v>0.13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3675</v>
      </c>
      <c r="F18">
        <v>17</v>
      </c>
      <c r="G18">
        <v>17</v>
      </c>
      <c r="H18">
        <v>0.2</v>
      </c>
      <c r="I18">
        <v>0.4</v>
      </c>
      <c r="K18">
        <v>0.03</v>
      </c>
      <c r="N18" t="s">
        <v>30</v>
      </c>
      <c r="O18">
        <v>0.04</v>
      </c>
      <c r="P18" t="s">
        <v>30</v>
      </c>
      <c r="Q18">
        <v>0.09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1910</v>
      </c>
      <c r="D19">
        <f t="shared" si="0"/>
        <v>5</v>
      </c>
      <c r="E19">
        <f t="shared" si="1"/>
        <v>3675</v>
      </c>
      <c r="F19">
        <v>18</v>
      </c>
      <c r="G19">
        <v>18</v>
      </c>
      <c r="H19">
        <v>0.03</v>
      </c>
      <c r="I19">
        <v>0.19</v>
      </c>
      <c r="K19">
        <v>0.11</v>
      </c>
      <c r="L19">
        <v>0.18</v>
      </c>
      <c r="O19">
        <v>0.77</v>
      </c>
      <c r="P19">
        <v>0.01</v>
      </c>
      <c r="Q19">
        <v>0.1</v>
      </c>
      <c r="R19">
        <v>0.02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7" t="s">
        <v>49</v>
      </c>
      <c r="D20">
        <f t="shared" si="0"/>
        <v>5</v>
      </c>
      <c r="E20">
        <f t="shared" si="1"/>
        <v>3675</v>
      </c>
      <c r="F20">
        <v>19</v>
      </c>
      <c r="G20">
        <v>19</v>
      </c>
      <c r="H20" s="8">
        <v>0.04</v>
      </c>
      <c r="I20" s="8">
        <v>0.12</v>
      </c>
      <c r="J20" s="8"/>
      <c r="K20" s="8">
        <v>0.34</v>
      </c>
      <c r="L20" s="8">
        <v>0.09</v>
      </c>
      <c r="M20" s="8">
        <v>0.04</v>
      </c>
      <c r="N20" s="8">
        <v>0.1</v>
      </c>
      <c r="O20" s="8">
        <v>0.17</v>
      </c>
      <c r="P20" s="8"/>
      <c r="Q20" s="8">
        <v>0.15</v>
      </c>
      <c r="R20" s="8"/>
      <c r="S20" s="8">
        <v>0.17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51</v>
      </c>
      <c r="D21">
        <f t="shared" si="0"/>
        <v>5</v>
      </c>
      <c r="E21">
        <f t="shared" si="1"/>
        <v>3675</v>
      </c>
      <c r="F21">
        <v>20</v>
      </c>
      <c r="G21">
        <v>20</v>
      </c>
      <c r="H21" s="8"/>
      <c r="I21" s="8">
        <v>0.41</v>
      </c>
      <c r="J21" s="8"/>
      <c r="K21" s="8">
        <v>0.05</v>
      </c>
      <c r="L21" s="8">
        <v>0.05</v>
      </c>
      <c r="M21" s="8">
        <v>0.51</v>
      </c>
      <c r="N21" s="8">
        <v>0.5</v>
      </c>
      <c r="O21" s="8">
        <v>0.13</v>
      </c>
      <c r="P21" s="8"/>
      <c r="Q21" s="8">
        <v>0.03</v>
      </c>
      <c r="R21" s="8">
        <v>0.05</v>
      </c>
      <c r="S21" s="8"/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52</v>
      </c>
      <c r="D22">
        <f t="shared" si="0"/>
        <v>5</v>
      </c>
      <c r="E22">
        <f t="shared" si="1"/>
        <v>3675</v>
      </c>
      <c r="F22">
        <v>21</v>
      </c>
      <c r="G22">
        <v>21</v>
      </c>
      <c r="H22" s="8"/>
      <c r="I22" s="8">
        <v>0.5</v>
      </c>
      <c r="J22" s="8"/>
      <c r="K22" s="8">
        <v>0.33</v>
      </c>
      <c r="L22" s="8"/>
      <c r="M22" s="8">
        <v>0.13</v>
      </c>
      <c r="N22" s="8">
        <v>0.23</v>
      </c>
      <c r="O22" s="8">
        <v>0.02</v>
      </c>
      <c r="P22" s="8"/>
      <c r="Q22" s="8"/>
      <c r="R22" s="8"/>
      <c r="S22" s="8">
        <v>0.02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1</v>
      </c>
      <c r="D23">
        <f t="shared" si="0"/>
        <v>5</v>
      </c>
      <c r="E23">
        <f t="shared" si="1"/>
        <v>3675</v>
      </c>
      <c r="F23">
        <v>22</v>
      </c>
      <c r="G23">
        <v>22</v>
      </c>
      <c r="H23" s="8">
        <v>0.05</v>
      </c>
      <c r="I23" s="8">
        <v>0.3</v>
      </c>
      <c r="J23" s="8"/>
      <c r="K23" s="8">
        <v>0.04</v>
      </c>
      <c r="L23" s="8"/>
      <c r="M23" s="8">
        <v>0.56000000000000005</v>
      </c>
      <c r="N23" s="8">
        <v>0.11</v>
      </c>
      <c r="O23" s="8">
        <v>0.12</v>
      </c>
      <c r="P23" s="8"/>
      <c r="Q23" s="8"/>
      <c r="R23" s="8">
        <v>0.08</v>
      </c>
      <c r="S23" s="8"/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D24">
        <f t="shared" si="0"/>
        <v>5</v>
      </c>
      <c r="E24">
        <f t="shared" si="1"/>
        <v>3675</v>
      </c>
      <c r="F24">
        <v>23</v>
      </c>
      <c r="G24">
        <v>23</v>
      </c>
      <c r="H24" s="8">
        <v>0.21</v>
      </c>
      <c r="I24" s="8">
        <v>0.24</v>
      </c>
      <c r="J24" s="8"/>
      <c r="K24" s="8">
        <v>0.06</v>
      </c>
      <c r="L24" s="8"/>
      <c r="M24" s="8">
        <v>0.21</v>
      </c>
      <c r="N24" s="8">
        <v>0.1</v>
      </c>
      <c r="O24" s="8">
        <v>0.09</v>
      </c>
      <c r="P24" s="8"/>
      <c r="Q24" s="8"/>
      <c r="R24" s="8">
        <v>0.54</v>
      </c>
      <c r="S24" s="8">
        <v>0.06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53</v>
      </c>
      <c r="D25">
        <f t="shared" si="0"/>
        <v>5</v>
      </c>
      <c r="E25">
        <f t="shared" si="1"/>
        <v>3675</v>
      </c>
      <c r="F25">
        <v>24</v>
      </c>
      <c r="G25">
        <v>24</v>
      </c>
      <c r="H25" s="8">
        <v>0.01</v>
      </c>
      <c r="I25" s="8">
        <v>0.04</v>
      </c>
      <c r="J25" s="8"/>
      <c r="K25" s="8">
        <v>0.18</v>
      </c>
      <c r="L25" s="8"/>
      <c r="M25" s="8">
        <v>0.14000000000000001</v>
      </c>
      <c r="N25" s="8">
        <v>0.11</v>
      </c>
      <c r="O25" s="8">
        <v>0.05</v>
      </c>
      <c r="P25" s="8"/>
      <c r="Q25" s="8"/>
      <c r="R25" s="8">
        <v>0.02</v>
      </c>
      <c r="S25" s="8"/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3675</v>
      </c>
      <c r="F26">
        <v>25</v>
      </c>
      <c r="G26">
        <v>25</v>
      </c>
      <c r="H26" s="8">
        <v>0.13</v>
      </c>
      <c r="I26" s="8">
        <v>0.31</v>
      </c>
      <c r="J26" s="8"/>
      <c r="K26" s="8">
        <v>0.06</v>
      </c>
      <c r="L26" s="8"/>
      <c r="M26" s="8">
        <v>0.04</v>
      </c>
      <c r="N26" s="8">
        <v>0.03</v>
      </c>
      <c r="O26" s="8">
        <v>0.83</v>
      </c>
      <c r="P26" s="8">
        <v>0.11</v>
      </c>
      <c r="Q26" s="8"/>
      <c r="R26" s="8">
        <v>0.15</v>
      </c>
      <c r="S26" s="8"/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3675</v>
      </c>
      <c r="F27">
        <v>26</v>
      </c>
      <c r="G27">
        <v>26</v>
      </c>
      <c r="H27" s="8"/>
      <c r="I27" s="8">
        <v>0.25</v>
      </c>
      <c r="J27" s="8"/>
      <c r="K27" s="8">
        <v>0.01</v>
      </c>
      <c r="L27" s="8"/>
      <c r="M27" s="8"/>
      <c r="N27" s="8">
        <v>0.04</v>
      </c>
      <c r="O27" s="8">
        <v>0.19</v>
      </c>
      <c r="P27" s="8">
        <v>0.02</v>
      </c>
      <c r="Q27" s="8"/>
      <c r="R27" s="8"/>
      <c r="S27" s="8">
        <v>0.02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34.39</v>
      </c>
      <c r="D28">
        <f t="shared" si="0"/>
        <v>5</v>
      </c>
      <c r="E28">
        <f t="shared" si="1"/>
        <v>3675</v>
      </c>
      <c r="F28">
        <v>27</v>
      </c>
      <c r="G28">
        <v>27</v>
      </c>
      <c r="H28" s="8">
        <v>0.32</v>
      </c>
      <c r="I28" s="8">
        <v>0.23</v>
      </c>
      <c r="J28" s="8">
        <v>0.05</v>
      </c>
      <c r="K28" s="8">
        <v>0.45</v>
      </c>
      <c r="L28" s="8">
        <v>0.03</v>
      </c>
      <c r="M28" s="8">
        <v>0.1</v>
      </c>
      <c r="N28" s="8">
        <v>0.06</v>
      </c>
      <c r="O28" s="8">
        <v>0.3</v>
      </c>
      <c r="P28" s="8"/>
      <c r="Q28" s="8"/>
      <c r="R28" s="8"/>
      <c r="S28" s="8">
        <v>0.02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215</v>
      </c>
      <c r="D29">
        <f t="shared" si="0"/>
        <v>5</v>
      </c>
      <c r="E29">
        <f t="shared" si="1"/>
        <v>3675</v>
      </c>
      <c r="F29">
        <v>28</v>
      </c>
      <c r="G29">
        <v>28</v>
      </c>
      <c r="H29" s="8">
        <v>0.03</v>
      </c>
      <c r="I29" s="8">
        <v>0.03</v>
      </c>
      <c r="J29" s="8"/>
      <c r="K29" s="8">
        <v>0.04</v>
      </c>
      <c r="L29" s="8">
        <v>0.04</v>
      </c>
      <c r="M29" s="8">
        <v>0.54</v>
      </c>
      <c r="N29" s="8">
        <v>0.55000000000000004</v>
      </c>
      <c r="O29" s="8">
        <v>0.1</v>
      </c>
      <c r="P29" s="8">
        <v>0.56999999999999995</v>
      </c>
      <c r="Q29" s="8"/>
      <c r="R29" s="8"/>
      <c r="S29" s="8">
        <v>0.05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D30">
        <f t="shared" si="0"/>
        <v>5</v>
      </c>
      <c r="E30">
        <f t="shared" si="1"/>
        <v>3675</v>
      </c>
      <c r="F30">
        <v>29</v>
      </c>
      <c r="G30">
        <v>29</v>
      </c>
      <c r="H30" s="8"/>
      <c r="I30" s="8"/>
      <c r="J30" s="8"/>
      <c r="K30" s="8"/>
      <c r="L30" s="8"/>
      <c r="M30" s="8">
        <v>0.19</v>
      </c>
      <c r="N30" s="8">
        <v>0.15</v>
      </c>
      <c r="O30" s="8"/>
      <c r="P30" s="8">
        <v>0.03</v>
      </c>
      <c r="Q30" s="8">
        <v>0.15</v>
      </c>
      <c r="R30" s="8"/>
      <c r="S30" s="8"/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5" t="s">
        <v>54</v>
      </c>
      <c r="D31">
        <f t="shared" si="0"/>
        <v>5</v>
      </c>
      <c r="E31">
        <f t="shared" si="1"/>
        <v>3675</v>
      </c>
      <c r="F31">
        <v>30</v>
      </c>
      <c r="G31">
        <v>30</v>
      </c>
      <c r="H31" s="8">
        <v>0.01</v>
      </c>
      <c r="I31" s="8"/>
      <c r="J31" s="8"/>
      <c r="K31" s="8"/>
      <c r="L31" s="8">
        <v>0.36</v>
      </c>
      <c r="M31" s="8">
        <v>0.04</v>
      </c>
      <c r="N31" s="8">
        <v>0.13</v>
      </c>
      <c r="O31" s="8"/>
      <c r="P31" s="8"/>
      <c r="Q31" s="8">
        <v>0.04</v>
      </c>
      <c r="R31" s="8"/>
      <c r="S31" s="8"/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55</v>
      </c>
      <c r="D32">
        <f t="shared" si="0"/>
        <v>5</v>
      </c>
      <c r="E32">
        <f t="shared" si="1"/>
        <v>3675</v>
      </c>
      <c r="F32">
        <v>31</v>
      </c>
      <c r="G32">
        <v>31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>
        <v>0.05</v>
      </c>
      <c r="T32" t="s">
        <v>30</v>
      </c>
      <c r="U32" t="s">
        <v>30</v>
      </c>
      <c r="V32" t="s">
        <v>30</v>
      </c>
      <c r="W32" t="s">
        <v>30</v>
      </c>
    </row>
    <row r="33" spans="1:19" x14ac:dyDescent="0.25">
      <c r="A33" s="1" t="s">
        <v>44</v>
      </c>
      <c r="B33" s="3" t="s">
        <v>30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x14ac:dyDescent="0.25">
      <c r="A34" s="1" t="s">
        <v>45</v>
      </c>
      <c r="B34" s="3" t="s">
        <v>30</v>
      </c>
    </row>
    <row r="35" spans="1:19" x14ac:dyDescent="0.25">
      <c r="A35" s="1" t="s">
        <v>47</v>
      </c>
      <c r="B35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2018-04-10T09:01:19Z</dcterms:modified>
</cp:coreProperties>
</file>