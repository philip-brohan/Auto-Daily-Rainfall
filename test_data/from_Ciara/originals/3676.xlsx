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ryan\Dropbox\UCL_Results\Master Files UCL\"/>
    </mc:Choice>
  </mc:AlternateContent>
  <bookViews>
    <workbookView xWindow="720" yWindow="945" windowWidth="28035" windowHeight="11730"/>
  </bookViews>
  <sheets>
    <sheet name="Form 5 template" sheetId="1" r:id="rId1"/>
  </sheets>
  <calcPr calcId="162913"/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<sst xmlns="http://schemas.openxmlformats.org/spreadsheetml/2006/main" count="147" uniqueCount="52">
  <si>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</si>
  <si>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</si>
  <si>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</si>
  <si>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</si>
  <si>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</si>
  <si>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</si>
  <si>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</si>
  <si>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</si>
  <si>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</si>
  <si>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</si>
  <si>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</si>
  <si>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</si>
  <si>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</si>
  <si>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</si>
  <si>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</si>
  <si>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</si>
  <si>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</si>
  <si>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</si>
  <si>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</si>
  <si>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</si>
  <si>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</si>
  <si>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</si>
  <si>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</si>
  <si>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</si>
  <si>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</si>
  <si>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</si>
  <si>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</si>
  <si>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</si>
  <si>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</si>
  <si>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</si>
  <si>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</si>
  <si>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</si>
  <si>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</si>
  <si>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</si>
  <si>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</si>
  <si>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</si>
  <si>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</si>
  <si>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</si>
  <si>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</si>
  <si>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</si>
  <si>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</si>
  <si>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</si>
  <si>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</si>
  <si>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</si>
  <si>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</si>
  <si>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</si>
  <si>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</si>
  <si>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</si>
  <si>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</si>
  <si>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Greenore</t>
  </si>
  <si>
    <t>Samual Wilson</t>
  </si>
  <si>
    <t>Louth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</si>
</sst>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zoomScale="40" zoomScaleNormal="40" workbookViewId="0">
      <selection activeCell="W26" sqref="W26"/>
    </sheetView>
  </sheetViews>
  <sheetFormatPr defaultRowHeight="15" x14ac:dyDescent="0.25"/>
  <cols>
    <col min="1" max="1" width="22.7109375" customWidth="1"/>
    <col min="2" max="2" width="14.85546875" style="3" customWidth="1"/>
  </cols>
  <sheetData>
    <row r="1" spans="1:25" x14ac:dyDescent="0.2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5">
      <c r="A2" s="1" t="s">
        <v>1</v>
      </c>
      <c r="B2" s="3">
        <v>3676</v>
      </c>
      <c r="D2">
        <f>($B$1)</f>
        <v>5</v>
      </c>
      <c r="E2">
        <f>($B$2)</f>
        <v>3676</v>
      </c>
      <c r="F2">
        <v>1</v>
      </c>
      <c r="G2">
        <v>1</v>
      </c>
      <c r="H2">
        <v>0.56000000000000005</v>
      </c>
      <c r="M2">
        <v>0.03</v>
      </c>
      <c r="N2">
        <v>7.0000000000000007E-2</v>
      </c>
      <c r="O2">
        <v>0.5</v>
      </c>
      <c r="R2">
        <v>0.44</v>
      </c>
      <c r="T2">
        <v>1</v>
      </c>
      <c r="U2">
        <v>2.54</v>
      </c>
      <c r="V2">
        <v>16</v>
      </c>
      <c r="W2">
        <v>14</v>
      </c>
      <c r="Y2" s="2">
        <f>SUM(H2:H32)</f>
        <v>2.54</v>
      </c>
    </row>
    <row r="3" spans="1:25" x14ac:dyDescent="0.25">
      <c r="A3" s="1" t="s">
        <v>2</v>
      </c>
      <c r="B3" s="3" t="s">
        <v>49</v>
      </c>
      <c r="D3">
        <f t="shared" ref="D3:D32" si="0">($B$1)</f>
        <v>5</v>
      </c>
      <c r="E3">
        <f t="shared" ref="E3:E32" si="1">($B$2)</f>
        <v>3676</v>
      </c>
      <c r="F3">
        <v>2</v>
      </c>
      <c r="G3">
        <v>2</v>
      </c>
      <c r="H3">
        <v>0.08</v>
      </c>
      <c r="I3">
        <v>0.1</v>
      </c>
      <c r="M3">
        <v>0.01</v>
      </c>
      <c r="O3">
        <v>0.08</v>
      </c>
      <c r="P3">
        <v>0.04</v>
      </c>
      <c r="R3">
        <v>0.04</v>
      </c>
      <c r="T3">
        <v>2</v>
      </c>
      <c r="U3">
        <v>3.57</v>
      </c>
      <c r="V3">
        <v>19</v>
      </c>
      <c r="W3">
        <v>15</v>
      </c>
      <c r="Y3" s="2">
        <f>SUM(I:I)</f>
        <v>3.57</v>
      </c>
    </row>
    <row r="4" spans="1:25" x14ac:dyDescent="0.25">
      <c r="A4" s="1" t="s">
        <v>3</v>
      </c>
      <c r="B4" s="3" t="s">
        <v>48</v>
      </c>
      <c r="D4">
        <f t="shared" si="0"/>
        <v>5</v>
      </c>
      <c r="E4">
        <f t="shared" si="1"/>
        <v>3676</v>
      </c>
      <c r="F4">
        <v>3</v>
      </c>
      <c r="G4">
        <v>3</v>
      </c>
      <c r="H4">
        <v>0.5</v>
      </c>
      <c r="I4">
        <v>0.04</v>
      </c>
      <c r="L4">
        <v>0.22</v>
      </c>
      <c r="M4">
        <v>0.12</v>
      </c>
      <c r="N4" s="5"/>
      <c r="O4" s="5">
        <v>0.05</v>
      </c>
      <c r="P4" s="5"/>
      <c r="Q4" s="5"/>
      <c r="R4" s="5">
        <v>0.08</v>
      </c>
      <c r="T4">
        <v>3</v>
      </c>
      <c r="U4">
        <v>0.8</v>
      </c>
      <c r="V4">
        <v>11</v>
      </c>
      <c r="W4">
        <v>7</v>
      </c>
      <c r="Y4" s="2">
        <f>SUM(J:J)</f>
        <v>0.8</v>
      </c>
    </row>
    <row r="5" spans="1:25" x14ac:dyDescent="0.25">
      <c r="A5" s="1" t="s">
        <v>4</v>
      </c>
      <c r="B5" s="3" t="s">
        <v>48</v>
      </c>
      <c r="D5">
        <f t="shared" si="0"/>
        <v>5</v>
      </c>
      <c r="E5">
        <f t="shared" si="1"/>
        <v>3676</v>
      </c>
      <c r="F5">
        <v>4</v>
      </c>
      <c r="G5">
        <v>4</v>
      </c>
      <c r="H5">
        <v>0.13</v>
      </c>
      <c r="I5">
        <v>0.13</v>
      </c>
      <c r="K5">
        <v>0.42</v>
      </c>
      <c r="L5">
        <v>0.27</v>
      </c>
      <c r="N5" s="5"/>
      <c r="O5" s="5">
        <v>0.03</v>
      </c>
      <c r="P5" s="5">
        <v>0.05</v>
      </c>
      <c r="Q5" s="5"/>
      <c r="R5" s="5">
        <v>0.2</v>
      </c>
      <c r="T5">
        <v>4</v>
      </c>
      <c r="U5">
        <v>2.2400000000000002</v>
      </c>
      <c r="V5">
        <v>15</v>
      </c>
      <c r="W5">
        <v>12</v>
      </c>
      <c r="Y5" s="2">
        <f>SUM(K:K)</f>
        <v>2.2399999999999998</v>
      </c>
    </row>
    <row r="6" spans="1:25" x14ac:dyDescent="0.25">
      <c r="A6" s="1" t="s">
        <v>5</v>
      </c>
      <c r="B6" s="3" t="s">
        <v>48</v>
      </c>
      <c r="D6">
        <f t="shared" si="0"/>
        <v>5</v>
      </c>
      <c r="E6">
        <f t="shared" si="1"/>
        <v>3676</v>
      </c>
      <c r="F6">
        <v>5</v>
      </c>
      <c r="G6">
        <v>5</v>
      </c>
      <c r="I6">
        <v>0.05</v>
      </c>
      <c r="K6">
        <v>0.2</v>
      </c>
      <c r="L6">
        <v>0.1</v>
      </c>
      <c r="M6">
        <v>0.14000000000000001</v>
      </c>
      <c r="N6" s="5"/>
      <c r="O6" s="5">
        <v>0.08</v>
      </c>
      <c r="P6" s="5">
        <v>0.06</v>
      </c>
      <c r="Q6" s="5"/>
      <c r="R6" s="5"/>
      <c r="T6">
        <v>5</v>
      </c>
      <c r="U6">
        <v>5.07</v>
      </c>
      <c r="V6">
        <v>25</v>
      </c>
      <c r="W6">
        <v>20</v>
      </c>
      <c r="Y6" s="2">
        <f>SUM(L:L)</f>
        <v>5.0699999999999994</v>
      </c>
    </row>
    <row r="7" spans="1:25" x14ac:dyDescent="0.25">
      <c r="A7" s="1" t="s">
        <v>6</v>
      </c>
      <c r="B7" s="3" t="s">
        <v>48</v>
      </c>
      <c r="D7">
        <f t="shared" si="0"/>
        <v>5</v>
      </c>
      <c r="E7">
        <f t="shared" si="1"/>
        <v>3676</v>
      </c>
      <c r="F7">
        <v>6</v>
      </c>
      <c r="G7">
        <v>6</v>
      </c>
      <c r="I7">
        <v>0.03</v>
      </c>
      <c r="J7">
        <v>0.02</v>
      </c>
      <c r="N7" s="5">
        <v>0.05</v>
      </c>
      <c r="O7" s="5">
        <v>0.04</v>
      </c>
      <c r="P7" s="5"/>
      <c r="Q7" s="5"/>
      <c r="R7" s="5">
        <v>0.36</v>
      </c>
      <c r="T7">
        <v>6</v>
      </c>
      <c r="U7">
        <v>0.41</v>
      </c>
      <c r="V7">
        <v>5</v>
      </c>
      <c r="W7">
        <v>3</v>
      </c>
      <c r="Y7" s="2">
        <f>SUM(M:M)</f>
        <v>0.41000000000000003</v>
      </c>
    </row>
    <row r="8" spans="1:25" x14ac:dyDescent="0.25">
      <c r="A8" s="1" t="s">
        <v>7</v>
      </c>
      <c r="B8" s="3" t="s">
        <v>48</v>
      </c>
      <c r="D8">
        <f t="shared" si="0"/>
        <v>5</v>
      </c>
      <c r="E8">
        <f t="shared" si="1"/>
        <v>3676</v>
      </c>
      <c r="F8">
        <v>7</v>
      </c>
      <c r="G8">
        <v>7</v>
      </c>
      <c r="H8">
        <v>0.04</v>
      </c>
      <c r="I8">
        <v>0.55000000000000004</v>
      </c>
      <c r="J8">
        <v>0.04</v>
      </c>
      <c r="L8">
        <v>0.03</v>
      </c>
      <c r="N8" s="5"/>
      <c r="O8" s="5">
        <v>0.12</v>
      </c>
      <c r="P8" s="5"/>
      <c r="Q8" s="5"/>
      <c r="R8" s="5">
        <v>0.46</v>
      </c>
      <c r="S8">
        <v>0.03</v>
      </c>
      <c r="T8">
        <v>7</v>
      </c>
      <c r="U8">
        <v>3.45</v>
      </c>
      <c r="V8">
        <v>13</v>
      </c>
      <c r="W8">
        <v>12</v>
      </c>
      <c r="Y8" s="2">
        <f>SUM(N:N)</f>
        <v>3.45</v>
      </c>
    </row>
    <row r="9" spans="1:25" x14ac:dyDescent="0.25">
      <c r="A9" s="1" t="s">
        <v>8</v>
      </c>
      <c r="B9" s="3">
        <v>1925</v>
      </c>
      <c r="D9">
        <f t="shared" si="0"/>
        <v>5</v>
      </c>
      <c r="E9">
        <f t="shared" si="1"/>
        <v>3676</v>
      </c>
      <c r="F9">
        <v>8</v>
      </c>
      <c r="G9">
        <v>8</v>
      </c>
      <c r="H9">
        <v>0.09</v>
      </c>
      <c r="I9">
        <v>0.06</v>
      </c>
      <c r="L9">
        <v>0.36</v>
      </c>
      <c r="N9" s="5"/>
      <c r="O9" s="5">
        <v>0.39</v>
      </c>
      <c r="P9" s="5">
        <v>0.16</v>
      </c>
      <c r="Q9" s="5"/>
      <c r="R9" s="5"/>
      <c r="T9">
        <v>8</v>
      </c>
      <c r="U9">
        <v>3.17</v>
      </c>
      <c r="V9">
        <v>19</v>
      </c>
      <c r="W9">
        <v>14</v>
      </c>
      <c r="Y9" s="2">
        <f>SUM(O:O)</f>
        <v>3.1700000000000004</v>
      </c>
    </row>
    <row r="10" spans="1:25" x14ac:dyDescent="0.25">
      <c r="A10" s="1" t="s">
        <v>9</v>
      </c>
      <c r="B10" s="3">
        <v>1</v>
      </c>
      <c r="D10">
        <f t="shared" si="0"/>
        <v>5</v>
      </c>
      <c r="E10">
        <f t="shared" si="1"/>
        <v>3676</v>
      </c>
      <c r="F10">
        <v>9</v>
      </c>
      <c r="G10">
        <v>9</v>
      </c>
      <c r="I10">
        <v>0.21</v>
      </c>
      <c r="J10">
        <v>0.02</v>
      </c>
      <c r="K10">
        <v>0.4</v>
      </c>
      <c r="L10">
        <v>0.14000000000000001</v>
      </c>
      <c r="N10" s="5">
        <v>0.1</v>
      </c>
      <c r="O10" s="5">
        <v>0.03</v>
      </c>
      <c r="P10" s="5">
        <v>0.06</v>
      </c>
      <c r="Q10" s="5"/>
      <c r="R10" s="5"/>
      <c r="S10">
        <v>0.28000000000000003</v>
      </c>
      <c r="T10">
        <v>9</v>
      </c>
      <c r="U10">
        <v>3.65</v>
      </c>
      <c r="V10">
        <v>18</v>
      </c>
      <c r="W10">
        <v>15</v>
      </c>
      <c r="Y10" s="2">
        <f>SUM(P:P)</f>
        <v>3.65</v>
      </c>
    </row>
    <row r="11" spans="1:25" x14ac:dyDescent="0.25">
      <c r="A11" s="1" t="s">
        <v>10</v>
      </c>
      <c r="B11" s="3">
        <v>1</v>
      </c>
      <c r="D11">
        <f t="shared" si="0"/>
        <v>5</v>
      </c>
      <c r="E11">
        <f t="shared" si="1"/>
        <v>3676</v>
      </c>
      <c r="F11">
        <v>10</v>
      </c>
      <c r="G11">
        <v>10</v>
      </c>
      <c r="I11">
        <v>0.17</v>
      </c>
      <c r="J11">
        <v>0.13</v>
      </c>
      <c r="K11">
        <v>7.0000000000000007E-2</v>
      </c>
      <c r="L11">
        <v>0.35</v>
      </c>
      <c r="N11" s="5"/>
      <c r="O11" s="5"/>
      <c r="P11" s="5"/>
      <c r="Q11" s="5"/>
      <c r="R11" s="5"/>
      <c r="T11">
        <v>10</v>
      </c>
      <c r="U11">
        <v>4.13</v>
      </c>
      <c r="V11">
        <v>14</v>
      </c>
      <c r="W11">
        <v>13</v>
      </c>
      <c r="Y11" s="2">
        <f>SUM(Q:Q)</f>
        <v>4.129999999999999</v>
      </c>
    </row>
    <row r="12" spans="1:25" x14ac:dyDescent="0.25">
      <c r="A12" s="1" t="s">
        <v>11</v>
      </c>
      <c r="B12" s="3" t="s">
        <v>48</v>
      </c>
      <c r="D12">
        <f t="shared" si="0"/>
        <v>5</v>
      </c>
      <c r="E12">
        <f t="shared" si="1"/>
        <v>3676</v>
      </c>
      <c r="F12">
        <v>11</v>
      </c>
      <c r="G12">
        <v>11</v>
      </c>
      <c r="L12">
        <v>0.02</v>
      </c>
      <c r="N12" s="5"/>
      <c r="O12" s="5">
        <v>0.04</v>
      </c>
      <c r="P12" s="5"/>
      <c r="Q12" s="5"/>
      <c r="R12" s="5"/>
      <c r="T12">
        <v>11</v>
      </c>
      <c r="U12">
        <v>1.76</v>
      </c>
      <c r="V12">
        <v>9</v>
      </c>
      <c r="W12">
        <v>8</v>
      </c>
      <c r="Y12" s="2">
        <f>SUM(R:R)</f>
        <v>1.7600000000000002</v>
      </c>
    </row>
    <row r="13" spans="1:25" x14ac:dyDescent="0.25">
      <c r="A13" s="1" t="s">
        <v>12</v>
      </c>
      <c r="D13">
        <f t="shared" si="0"/>
        <v>5</v>
      </c>
      <c r="E13">
        <f t="shared" si="1"/>
        <v>3676</v>
      </c>
      <c r="F13">
        <v>12</v>
      </c>
      <c r="G13">
        <v>12</v>
      </c>
      <c r="H13">
        <v>0.12</v>
      </c>
      <c r="K13">
        <v>0.23</v>
      </c>
      <c r="L13">
        <v>0.12</v>
      </c>
      <c r="N13" s="5"/>
      <c r="O13" s="5">
        <v>0.28000000000000003</v>
      </c>
      <c r="P13" s="5"/>
      <c r="Q13" s="5">
        <v>0.08</v>
      </c>
      <c r="R13" s="5"/>
      <c r="T13">
        <v>12</v>
      </c>
      <c r="U13">
        <v>2.57</v>
      </c>
      <c r="V13">
        <v>13</v>
      </c>
      <c r="W13">
        <v>10</v>
      </c>
      <c r="Y13" s="2">
        <f>SUM(S:S)</f>
        <v>2.57</v>
      </c>
    </row>
    <row r="14" spans="1:25" x14ac:dyDescent="0.25">
      <c r="D14">
        <f t="shared" si="0"/>
        <v>5</v>
      </c>
      <c r="E14">
        <f t="shared" si="1"/>
        <v>3676</v>
      </c>
      <c r="F14">
        <v>13</v>
      </c>
      <c r="G14">
        <v>13</v>
      </c>
      <c r="H14">
        <v>0.13</v>
      </c>
      <c r="I14">
        <v>0.33</v>
      </c>
      <c r="J14">
        <v>0.08</v>
      </c>
      <c r="K14">
        <v>0.02</v>
      </c>
      <c r="L14">
        <v>0.14000000000000001</v>
      </c>
      <c r="N14" s="5"/>
      <c r="O14" s="5">
        <v>0.33</v>
      </c>
      <c r="P14" s="5"/>
      <c r="Q14" s="5"/>
      <c r="R14" s="5"/>
      <c r="S14">
        <v>0.03</v>
      </c>
      <c r="T14" t="s">
        <v>30</v>
      </c>
      <c r="U14" t="s">
        <v>30</v>
      </c>
      <c r="V14" t="s">
        <v>30</v>
      </c>
      <c r="W14" t="s">
        <v>30</v>
      </c>
    </row>
    <row r="15" spans="1:25" s="1" customFormat="1" x14ac:dyDescent="0.25">
      <c r="A15" s="1" t="s">
        <v>0</v>
      </c>
      <c r="B15" s="4">
        <v>5</v>
      </c>
      <c r="D15">
        <f t="shared" si="0"/>
        <v>5</v>
      </c>
      <c r="E15">
        <f t="shared" si="1"/>
        <v>3676</v>
      </c>
      <c r="F15">
        <v>14</v>
      </c>
      <c r="G15">
        <v>14</v>
      </c>
      <c r="H15"/>
      <c r="I15">
        <v>0.14000000000000001</v>
      </c>
      <c r="J15"/>
      <c r="K15">
        <v>0.17</v>
      </c>
      <c r="L15"/>
      <c r="M15"/>
      <c r="N15" s="5">
        <v>0.28999999999999998</v>
      </c>
      <c r="O15" s="5"/>
      <c r="P15" s="5"/>
      <c r="Q15" s="5"/>
      <c r="R15" s="5"/>
      <c r="S15"/>
      <c r="T15" t="s">
        <v>30</v>
      </c>
      <c r="U15" t="s">
        <v>30</v>
      </c>
      <c r="V15" t="s">
        <v>30</v>
      </c>
      <c r="W15" t="s">
        <v>30</v>
      </c>
    </row>
    <row r="16" spans="1:25" x14ac:dyDescent="0.25">
      <c r="A16" s="1" t="s">
        <v>13</v>
      </c>
      <c r="B16" s="3">
        <v>3676</v>
      </c>
      <c r="D16">
        <f t="shared" si="0"/>
        <v>5</v>
      </c>
      <c r="E16">
        <f t="shared" si="1"/>
        <v>3676</v>
      </c>
      <c r="F16">
        <v>15</v>
      </c>
      <c r="G16">
        <v>15</v>
      </c>
      <c r="I16">
        <v>0.01</v>
      </c>
      <c r="K16">
        <v>0.18</v>
      </c>
      <c r="L16">
        <v>0.02</v>
      </c>
      <c r="N16" s="5"/>
      <c r="O16" s="5"/>
      <c r="P16" s="5">
        <v>0.14000000000000001</v>
      </c>
      <c r="Q16" s="5">
        <v>0.62</v>
      </c>
      <c r="R16" s="5"/>
      <c r="T16" t="s">
        <v>30</v>
      </c>
      <c r="U16" t="s">
        <v>30</v>
      </c>
      <c r="V16" t="s">
        <v>30</v>
      </c>
      <c r="W16" t="s">
        <v>30</v>
      </c>
    </row>
    <row r="17" spans="1:23" x14ac:dyDescent="0.25">
      <c r="A17" s="1" t="s">
        <v>14</v>
      </c>
      <c r="B17" s="3">
        <v>1</v>
      </c>
      <c r="D17">
        <f t="shared" si="0"/>
        <v>5</v>
      </c>
      <c r="E17">
        <f t="shared" si="1"/>
        <v>3676</v>
      </c>
      <c r="F17">
        <v>16</v>
      </c>
      <c r="G17">
        <v>16</v>
      </c>
      <c r="H17">
        <v>0.11</v>
      </c>
      <c r="I17">
        <v>0.06</v>
      </c>
      <c r="K17">
        <v>0.02</v>
      </c>
      <c r="L17">
        <v>0.56999999999999995</v>
      </c>
      <c r="N17" s="5">
        <v>0.11</v>
      </c>
      <c r="O17" s="5"/>
      <c r="P17" s="5"/>
      <c r="Q17" s="5"/>
      <c r="R17" s="5"/>
      <c r="T17" t="s">
        <v>30</v>
      </c>
      <c r="U17" t="s">
        <v>30</v>
      </c>
      <c r="V17" t="s">
        <v>30</v>
      </c>
      <c r="W17" t="s">
        <v>30</v>
      </c>
    </row>
    <row r="18" spans="1:23" x14ac:dyDescent="0.25">
      <c r="A18" s="1" t="s">
        <v>31</v>
      </c>
      <c r="B18" s="3" t="s">
        <v>48</v>
      </c>
      <c r="D18">
        <f t="shared" si="0"/>
        <v>5</v>
      </c>
      <c r="E18">
        <f t="shared" si="1"/>
        <v>3676</v>
      </c>
      <c r="F18">
        <v>17</v>
      </c>
      <c r="G18">
        <v>17</v>
      </c>
      <c r="K18">
        <v>0.12</v>
      </c>
      <c r="L18">
        <v>0.02</v>
      </c>
      <c r="N18" s="5"/>
      <c r="O18" s="5"/>
      <c r="P18" s="5">
        <v>0.42</v>
      </c>
      <c r="Q18" s="5">
        <v>0.06</v>
      </c>
      <c r="R18" s="5"/>
      <c r="T18" t="s">
        <v>30</v>
      </c>
      <c r="U18" t="s">
        <v>30</v>
      </c>
      <c r="V18" t="s">
        <v>30</v>
      </c>
      <c r="W18" t="s">
        <v>30</v>
      </c>
    </row>
    <row r="19" spans="1:23" x14ac:dyDescent="0.25">
      <c r="A19" s="1" t="s">
        <v>8</v>
      </c>
      <c r="B19" s="3">
        <v>1925</v>
      </c>
      <c r="D19">
        <f t="shared" si="0"/>
        <v>5</v>
      </c>
      <c r="E19">
        <f t="shared" si="1"/>
        <v>3676</v>
      </c>
      <c r="F19">
        <v>18</v>
      </c>
      <c r="G19">
        <v>18</v>
      </c>
      <c r="H19">
        <v>0.04</v>
      </c>
      <c r="K19">
        <v>7.0000000000000007E-2</v>
      </c>
      <c r="L19">
        <v>0.08</v>
      </c>
      <c r="N19" s="5">
        <v>0.02</v>
      </c>
      <c r="O19" s="5">
        <v>0.09</v>
      </c>
      <c r="P19" s="5">
        <v>0.56000000000000005</v>
      </c>
      <c r="Q19" s="5"/>
      <c r="R19" s="5"/>
      <c r="S19">
        <v>0.15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25">
      <c r="A20" s="1" t="s">
        <v>32</v>
      </c>
      <c r="B20" s="3" t="s">
        <v>49</v>
      </c>
      <c r="D20">
        <f t="shared" si="0"/>
        <v>5</v>
      </c>
      <c r="E20">
        <f t="shared" si="1"/>
        <v>3676</v>
      </c>
      <c r="F20">
        <v>19</v>
      </c>
      <c r="G20">
        <v>19</v>
      </c>
      <c r="H20">
        <v>0.01</v>
      </c>
      <c r="J20">
        <v>0.2</v>
      </c>
      <c r="L20">
        <v>7.0000000000000007E-2</v>
      </c>
      <c r="N20" s="5"/>
      <c r="O20" s="5"/>
      <c r="P20" s="5">
        <v>0.5</v>
      </c>
      <c r="Q20" s="5">
        <v>1.4</v>
      </c>
      <c r="R20" s="5"/>
      <c r="S20">
        <v>0.17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25">
      <c r="A21" s="1" t="s">
        <v>33</v>
      </c>
      <c r="B21" s="3" t="s">
        <v>51</v>
      </c>
      <c r="D21">
        <f t="shared" si="0"/>
        <v>5</v>
      </c>
      <c r="E21">
        <f t="shared" si="1"/>
        <v>3676</v>
      </c>
      <c r="F21">
        <v>20</v>
      </c>
      <c r="G21">
        <v>20</v>
      </c>
      <c r="I21">
        <v>0.27</v>
      </c>
      <c r="J21">
        <v>0.02</v>
      </c>
      <c r="L21">
        <v>0.16</v>
      </c>
      <c r="N21" s="5"/>
      <c r="O21" s="5"/>
      <c r="P21" s="5">
        <v>0.11</v>
      </c>
      <c r="Q21" s="5">
        <v>0.44</v>
      </c>
      <c r="R21" s="5"/>
      <c r="S21">
        <v>0.24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25">
      <c r="A22" s="1" t="s">
        <v>34</v>
      </c>
      <c r="B22" s="3">
        <v>5</v>
      </c>
      <c r="D22">
        <f t="shared" si="0"/>
        <v>5</v>
      </c>
      <c r="E22">
        <f t="shared" si="1"/>
        <v>3676</v>
      </c>
      <c r="F22">
        <v>21</v>
      </c>
      <c r="G22">
        <v>21</v>
      </c>
      <c r="N22" s="5"/>
      <c r="O22" s="5">
        <v>0.18</v>
      </c>
      <c r="P22" s="5">
        <v>0.39</v>
      </c>
      <c r="Q22" s="5">
        <v>0.23</v>
      </c>
      <c r="R22" s="5"/>
      <c r="T22" t="s">
        <v>30</v>
      </c>
      <c r="U22" t="s">
        <v>30</v>
      </c>
      <c r="V22" t="s">
        <v>30</v>
      </c>
      <c r="W22" t="s">
        <v>30</v>
      </c>
    </row>
    <row r="23" spans="1:23" x14ac:dyDescent="0.25">
      <c r="A23" s="1" t="s">
        <v>35</v>
      </c>
      <c r="B23" s="3">
        <v>0</v>
      </c>
      <c r="D23">
        <f t="shared" si="0"/>
        <v>5</v>
      </c>
      <c r="E23">
        <f t="shared" si="1"/>
        <v>3676</v>
      </c>
      <c r="F23">
        <v>22</v>
      </c>
      <c r="G23">
        <v>22</v>
      </c>
      <c r="H23">
        <v>0.18</v>
      </c>
      <c r="I23">
        <v>0.47</v>
      </c>
      <c r="K23">
        <v>0.16</v>
      </c>
      <c r="L23">
        <v>0.03</v>
      </c>
      <c r="N23" s="5">
        <v>0.22</v>
      </c>
      <c r="O23" s="5"/>
      <c r="P23" s="5">
        <v>0.61</v>
      </c>
      <c r="Q23" s="5">
        <v>7.0000000000000007E-2</v>
      </c>
      <c r="R23" s="5"/>
      <c r="T23" t="s">
        <v>30</v>
      </c>
      <c r="U23" t="s">
        <v>30</v>
      </c>
      <c r="V23" t="s">
        <v>30</v>
      </c>
      <c r="W23" t="s">
        <v>30</v>
      </c>
    </row>
    <row r="24" spans="1:23" x14ac:dyDescent="0.25">
      <c r="A24" s="1" t="s">
        <v>36</v>
      </c>
      <c r="B24" s="3">
        <v>2</v>
      </c>
      <c r="D24">
        <f t="shared" si="0"/>
        <v>5</v>
      </c>
      <c r="E24">
        <f t="shared" si="1"/>
        <v>3676</v>
      </c>
      <c r="F24">
        <v>23</v>
      </c>
      <c r="G24">
        <v>23</v>
      </c>
      <c r="I24">
        <v>0.25</v>
      </c>
      <c r="J24">
        <v>0.09</v>
      </c>
      <c r="K24">
        <v>0.03</v>
      </c>
      <c r="L24">
        <v>0.62</v>
      </c>
      <c r="N24" s="5"/>
      <c r="O24" s="5"/>
      <c r="P24" s="5">
        <v>0.03</v>
      </c>
      <c r="Q24" s="5">
        <v>7.0000000000000007E-2</v>
      </c>
      <c r="R24" s="5"/>
      <c r="T24" t="s">
        <v>30</v>
      </c>
      <c r="U24" t="s">
        <v>30</v>
      </c>
      <c r="V24" t="s">
        <v>30</v>
      </c>
      <c r="W24" t="s">
        <v>30</v>
      </c>
    </row>
    <row r="25" spans="1:23" x14ac:dyDescent="0.25">
      <c r="A25" s="1" t="s">
        <v>37</v>
      </c>
      <c r="B25" s="3">
        <v>20</v>
      </c>
      <c r="D25">
        <f t="shared" si="0"/>
        <v>5</v>
      </c>
      <c r="E25">
        <f t="shared" si="1"/>
        <v>3676</v>
      </c>
      <c r="F25">
        <v>24</v>
      </c>
      <c r="G25">
        <v>24</v>
      </c>
      <c r="I25">
        <v>0.65</v>
      </c>
      <c r="J25">
        <v>0.04</v>
      </c>
      <c r="K25">
        <v>0.05</v>
      </c>
      <c r="L25">
        <v>0.15</v>
      </c>
      <c r="N25" s="5"/>
      <c r="O25" s="5"/>
      <c r="P25" s="5">
        <v>0.01</v>
      </c>
      <c r="Q25" s="5"/>
      <c r="R25" s="5"/>
      <c r="T25" t="s">
        <v>30</v>
      </c>
      <c r="U25" t="s">
        <v>30</v>
      </c>
      <c r="V25" t="s">
        <v>30</v>
      </c>
      <c r="W25" t="s">
        <v>30</v>
      </c>
    </row>
    <row r="26" spans="1:23" x14ac:dyDescent="0.25">
      <c r="A26" s="1" t="s">
        <v>38</v>
      </c>
      <c r="B26" s="3" t="s">
        <v>48</v>
      </c>
      <c r="D26">
        <f t="shared" si="0"/>
        <v>5</v>
      </c>
      <c r="E26">
        <f t="shared" si="1"/>
        <v>3676</v>
      </c>
      <c r="F26">
        <v>25</v>
      </c>
      <c r="G26">
        <v>25</v>
      </c>
      <c r="I26">
        <v>0.03</v>
      </c>
      <c r="N26" s="5">
        <v>0.17</v>
      </c>
      <c r="O26" s="5">
        <v>0.2</v>
      </c>
      <c r="P26" s="5">
        <v>0.2</v>
      </c>
      <c r="Q26" s="5">
        <v>0.05</v>
      </c>
      <c r="R26" s="5"/>
      <c r="S26">
        <v>0.28000000000000003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5">
      <c r="A27" s="1" t="s">
        <v>12</v>
      </c>
      <c r="D27">
        <f t="shared" si="0"/>
        <v>5</v>
      </c>
      <c r="E27">
        <f t="shared" si="1"/>
        <v>3676</v>
      </c>
      <c r="F27">
        <v>26</v>
      </c>
      <c r="G27">
        <v>26</v>
      </c>
      <c r="L27">
        <v>0.62</v>
      </c>
      <c r="N27" s="5">
        <v>1.88</v>
      </c>
      <c r="O27" s="5">
        <v>0.1</v>
      </c>
      <c r="P27" s="5"/>
      <c r="Q27" s="5">
        <v>0.31</v>
      </c>
      <c r="R27" s="5">
        <v>0.03</v>
      </c>
      <c r="S27">
        <v>0.12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5">
      <c r="A28" s="1" t="s">
        <v>39</v>
      </c>
      <c r="B28" s="3">
        <v>33.36</v>
      </c>
      <c r="D28">
        <f t="shared" si="0"/>
        <v>5</v>
      </c>
      <c r="E28">
        <f t="shared" si="1"/>
        <v>3676</v>
      </c>
      <c r="F28">
        <v>27</v>
      </c>
      <c r="G28">
        <v>27</v>
      </c>
      <c r="H28">
        <v>0.03</v>
      </c>
      <c r="I28">
        <v>0.02</v>
      </c>
      <c r="L28">
        <v>0.32</v>
      </c>
      <c r="N28" s="5">
        <v>0.28999999999999998</v>
      </c>
      <c r="O28" s="5">
        <v>0.5</v>
      </c>
      <c r="P28" s="5">
        <v>0.15</v>
      </c>
      <c r="Q28" s="5"/>
      <c r="R28" s="5">
        <v>0.11</v>
      </c>
      <c r="S28">
        <v>0.02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5">
      <c r="A29" s="1" t="s">
        <v>40</v>
      </c>
      <c r="B29" s="3">
        <v>177</v>
      </c>
      <c r="D29">
        <f t="shared" si="0"/>
        <v>5</v>
      </c>
      <c r="E29">
        <f t="shared" si="1"/>
        <v>3676</v>
      </c>
      <c r="F29">
        <v>28</v>
      </c>
      <c r="G29">
        <v>28</v>
      </c>
      <c r="H29">
        <v>0.26</v>
      </c>
      <c r="J29">
        <v>0.02</v>
      </c>
      <c r="L29">
        <v>0.3</v>
      </c>
      <c r="N29" s="5">
        <v>0.06</v>
      </c>
      <c r="O29" s="5"/>
      <c r="P29" s="5">
        <v>0.02</v>
      </c>
      <c r="Q29" s="5">
        <v>0.4</v>
      </c>
      <c r="R29" s="5"/>
      <c r="S29">
        <v>0.61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5">
      <c r="A30" s="1" t="s">
        <v>41</v>
      </c>
      <c r="B30" s="3">
        <v>146</v>
      </c>
      <c r="D30">
        <f t="shared" si="0"/>
        <v>5</v>
      </c>
      <c r="E30">
        <f t="shared" si="1"/>
        <v>3676</v>
      </c>
      <c r="F30">
        <v>29</v>
      </c>
      <c r="G30">
        <v>29</v>
      </c>
      <c r="H30">
        <v>0.21</v>
      </c>
      <c r="L30">
        <v>0.17</v>
      </c>
      <c r="N30" s="5">
        <v>0.08</v>
      </c>
      <c r="O30" s="5"/>
      <c r="P30" s="5">
        <v>0.14000000000000001</v>
      </c>
      <c r="Q30" s="5">
        <v>0.15</v>
      </c>
      <c r="R30" s="5">
        <v>0.04</v>
      </c>
      <c r="S30">
        <v>0.4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25">
      <c r="A31" s="1" t="s">
        <v>42</v>
      </c>
      <c r="B31" s="3" t="s">
        <v>50</v>
      </c>
      <c r="D31">
        <f t="shared" si="0"/>
        <v>5</v>
      </c>
      <c r="E31">
        <f t="shared" si="1"/>
        <v>3676</v>
      </c>
      <c r="F31">
        <v>30</v>
      </c>
      <c r="G31">
        <v>30</v>
      </c>
      <c r="K31">
        <v>0.1</v>
      </c>
      <c r="L31">
        <v>0.09</v>
      </c>
      <c r="M31">
        <v>0.11</v>
      </c>
      <c r="N31" s="5">
        <v>0.11</v>
      </c>
      <c r="O31" s="5">
        <v>0.05</v>
      </c>
      <c r="P31" s="5"/>
      <c r="Q31" s="5">
        <v>0.23</v>
      </c>
      <c r="R31" s="5"/>
      <c r="S31">
        <v>7.0000000000000007E-2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5">
      <c r="A32" s="1" t="s">
        <v>43</v>
      </c>
      <c r="B32" s="3" t="s">
        <v>48</v>
      </c>
      <c r="D32">
        <f t="shared" si="0"/>
        <v>5</v>
      </c>
      <c r="E32">
        <f t="shared" si="1"/>
        <v>3676</v>
      </c>
      <c r="F32">
        <v>31</v>
      </c>
      <c r="G32">
        <v>31</v>
      </c>
      <c r="H32">
        <v>0.05</v>
      </c>
      <c r="J32">
        <v>0.14000000000000001</v>
      </c>
      <c r="L32">
        <v>0.1</v>
      </c>
      <c r="N32" s="5"/>
      <c r="O32" s="5">
        <v>0.08</v>
      </c>
      <c r="P32" s="5"/>
      <c r="Q32" s="5">
        <v>0.02</v>
      </c>
      <c r="R32" s="5"/>
      <c r="S32">
        <v>0.17</v>
      </c>
      <c r="T32" t="s">
        <v>30</v>
      </c>
      <c r="U32" t="s">
        <v>30</v>
      </c>
      <c r="V32" t="s">
        <v>30</v>
      </c>
      <c r="W32" t="s">
        <v>30</v>
      </c>
    </row>
    <row r="33" spans="1:18" x14ac:dyDescent="0.25">
      <c r="A33" s="1" t="s">
        <v>44</v>
      </c>
      <c r="B33" s="3" t="s">
        <v>48</v>
      </c>
      <c r="N33" s="5"/>
      <c r="O33" s="5"/>
      <c r="P33" s="5"/>
      <c r="Q33" s="5"/>
      <c r="R33" s="5"/>
    </row>
    <row r="34" spans="1:18" x14ac:dyDescent="0.25">
      <c r="A34" s="1" t="s">
        <v>45</v>
      </c>
      <c r="B34" s="3" t="s">
        <v>48</v>
      </c>
      <c r="N34" s="5"/>
      <c r="O34" s="5"/>
      <c r="P34" s="5"/>
      <c r="Q34" s="5"/>
      <c r="R34" s="5"/>
    </row>
    <row r="35" spans="1:18" x14ac:dyDescent="0.25">
      <c r="A35" s="1" t="s">
        <v>47</v>
      </c>
      <c r="B35" s="3" t="s">
        <v>48</v>
      </c>
      <c r="N35" s="5"/>
      <c r="O35" s="5"/>
      <c r="P35" s="5"/>
      <c r="Q35" s="5"/>
      <c r="R3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IT Services</cp:lastModifiedBy>
  <dcterms:created xsi:type="dcterms:W3CDTF">2016-09-30T11:06:39Z</dcterms:created>
  <dcterms:modified xsi:type="dcterms:W3CDTF">2018-04-10T09:04:38Z</dcterms:modified>
</cp:coreProperties>
</file>