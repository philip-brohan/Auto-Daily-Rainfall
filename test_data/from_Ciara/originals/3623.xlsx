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0" yWindow="0" windowWidth="22950" windowHeight="9930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Y13" i="1"/>
  <c r="E13" i="1"/>
  <c r="D13" i="1"/>
  <c r="Y12" i="1"/>
  <c r="E12" i="1"/>
  <c r="D12" i="1"/>
  <c r="Y11" i="1"/>
  <c r="E11" i="1"/>
  <c r="D11" i="1"/>
  <c r="Y10" i="1"/>
  <c r="E10" i="1"/>
  <c r="D10" i="1"/>
  <c r="Y9" i="1"/>
  <c r="E9" i="1"/>
  <c r="D9" i="1"/>
  <c r="Y8" i="1"/>
  <c r="E8" i="1"/>
  <c r="D8" i="1"/>
  <c r="Y7" i="1"/>
  <c r="E7" i="1"/>
  <c r="D7" i="1"/>
  <c r="Y6" i="1"/>
  <c r="E6" i="1"/>
  <c r="D6" i="1"/>
  <c r="Y5" i="1"/>
  <c r="E5" i="1"/>
  <c r="D5" i="1"/>
  <c r="Y4" i="1"/>
  <c r="E4" i="1"/>
  <c r="D4" i="1"/>
  <c r="Y3" i="1"/>
  <c r="E3" i="1"/>
  <c r="D3" i="1"/>
  <c r="Y2" i="1"/>
  <c r="E2" i="1"/>
  <c r="D2" i="1"/>
</calcChain>
</file>

<file path=xl/sharedStrings.xml><?xml version="1.0" encoding="utf-8"?>
<sst xmlns="http://schemas.openxmlformats.org/spreadsheetml/2006/main" count="145" uniqueCount="55">
  <si>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</si>
  <si>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</si>
  <si>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</si>
  <si>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</si>
  <si>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</si>
  <si>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</si>
  <si>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</si>
  <si>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</si>
  <si>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</si>
  <si>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</si>
  <si>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</si>
  <si>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</si>
  <si>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</si>
  <si>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</si>
  <si>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</si>
  <si>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</si>
  <si>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</si>
  <si>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</si>
  <si>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</si>
  <si>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</si>
  <si>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</si>
  <si>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</si>
  <si>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</si>
  <si>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Castlecomer House</t>
  </si>
  <si>
    <t>stno</t>
  </si>
  <si>
    <t>na</t>
  </si>
  <si>
    <t>stnlat</t>
  </si>
  <si>
    <t>stnlatmin</t>
  </si>
  <si>
    <t>stnlong</t>
  </si>
  <si>
    <t>stnlongmin</t>
  </si>
  <si>
    <t>year</t>
  </si>
  <si>
    <t>archcode</t>
  </si>
  <si>
    <t>comments</t>
  </si>
  <si>
    <t>good quality</t>
  </si>
  <si>
    <t xml:space="preserve"> </t>
  </si>
  <si>
    <t>stnum</t>
  </si>
  <si>
    <t>stname</t>
  </si>
  <si>
    <t>county</t>
  </si>
  <si>
    <t>Kilkenny</t>
  </si>
  <si>
    <t>funnel_diameter</t>
  </si>
  <si>
    <t>5 inch</t>
  </si>
  <si>
    <t>gauge_height_ft</t>
  </si>
  <si>
    <t>gauge_height_inch</t>
  </si>
  <si>
    <t>elevation</t>
  </si>
  <si>
    <t xml:space="preserve">about 380 </t>
  </si>
  <si>
    <t>next_jan_1</t>
  </si>
  <si>
    <t>yr_total</t>
  </si>
  <si>
    <t>yr_rainday</t>
  </si>
  <si>
    <t>yr_wetday</t>
  </si>
  <si>
    <t>observer</t>
  </si>
  <si>
    <t xml:space="preserve">Capt. R.H. Prior Wandesforde </t>
  </si>
  <si>
    <t>train_loc</t>
  </si>
  <si>
    <t>countynum</t>
  </si>
  <si>
    <t>river_dist</t>
  </si>
  <si>
    <t>Time of 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</si>
</sst>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topLeftCell="A17" zoomScale="130" zoomScaleNormal="130" workbookViewId="0">
      <selection activeCell="I22" sqref="I22"/>
    </sheetView>
  </sheetViews>
  <sheetFormatPr defaultColWidth="9" defaultRowHeight="15"/>
  <cols>
    <col min="1" max="1" width="22.7109375" customWidth="1"/>
    <col min="2" max="2" width="14.85546875" style="2" customWidth="1"/>
  </cols>
  <sheetData>
    <row r="1" spans="1:25">
      <c r="A1" s="1" t="s">
        <v>0</v>
      </c>
      <c r="B1" s="2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Y1" s="1" t="s">
        <v>20</v>
      </c>
    </row>
    <row r="2" spans="1:25">
      <c r="A2" s="1" t="s">
        <v>21</v>
      </c>
      <c r="B2" s="2">
        <v>3623</v>
      </c>
      <c r="D2">
        <f>($B$1)</f>
        <v>5</v>
      </c>
      <c r="E2">
        <f>($B$2)</f>
        <v>3623</v>
      </c>
      <c r="F2">
        <v>1</v>
      </c>
      <c r="G2">
        <v>1</v>
      </c>
      <c r="I2">
        <v>0.14000000000000001</v>
      </c>
      <c r="K2">
        <v>0.11</v>
      </c>
      <c r="M2">
        <v>0.06</v>
      </c>
      <c r="N2">
        <v>0.22</v>
      </c>
      <c r="O2">
        <v>1.07</v>
      </c>
      <c r="R2">
        <v>0.32</v>
      </c>
      <c r="T2">
        <v>1</v>
      </c>
      <c r="U2">
        <v>5.96</v>
      </c>
      <c r="V2">
        <v>20</v>
      </c>
      <c r="W2">
        <v>17</v>
      </c>
      <c r="Y2" s="4">
        <f>SUM(H2:H32)</f>
        <v>5.96</v>
      </c>
    </row>
    <row r="3" spans="1:25">
      <c r="A3" s="1" t="s">
        <v>22</v>
      </c>
      <c r="B3" s="2" t="s">
        <v>23</v>
      </c>
      <c r="D3">
        <f t="shared" ref="D3:D32" si="0">($B$1)</f>
        <v>5</v>
      </c>
      <c r="E3">
        <f t="shared" ref="E3:E32" si="1">($B$2)</f>
        <v>3623</v>
      </c>
      <c r="F3">
        <v>2</v>
      </c>
      <c r="G3">
        <v>2</v>
      </c>
      <c r="H3">
        <v>0.28999999999999998</v>
      </c>
      <c r="J3">
        <v>0.01</v>
      </c>
      <c r="K3">
        <v>0.03</v>
      </c>
      <c r="N3">
        <v>0.41</v>
      </c>
      <c r="O3">
        <v>0.37</v>
      </c>
      <c r="Q3">
        <v>0.02</v>
      </c>
      <c r="R3">
        <v>0.23</v>
      </c>
      <c r="T3">
        <v>2</v>
      </c>
      <c r="U3">
        <v>0.72</v>
      </c>
      <c r="V3">
        <v>7</v>
      </c>
      <c r="W3">
        <v>6</v>
      </c>
      <c r="Y3" s="4">
        <f>SUM(I:I)</f>
        <v>0.72</v>
      </c>
    </row>
    <row r="4" spans="1:25">
      <c r="A4" s="1" t="s">
        <v>24</v>
      </c>
      <c r="B4" s="2" t="s">
        <v>25</v>
      </c>
      <c r="D4">
        <f t="shared" si="0"/>
        <v>5</v>
      </c>
      <c r="E4">
        <f t="shared" si="1"/>
        <v>3623</v>
      </c>
      <c r="F4">
        <v>3</v>
      </c>
      <c r="G4">
        <v>3</v>
      </c>
      <c r="H4">
        <v>0.1</v>
      </c>
      <c r="I4">
        <v>0.1</v>
      </c>
      <c r="J4">
        <v>0.1</v>
      </c>
      <c r="K4">
        <v>0.25</v>
      </c>
      <c r="L4">
        <v>0.1</v>
      </c>
      <c r="N4">
        <v>0.14000000000000001</v>
      </c>
      <c r="O4">
        <v>0.02</v>
      </c>
      <c r="P4">
        <v>0.03</v>
      </c>
      <c r="Q4">
        <v>0.47</v>
      </c>
      <c r="T4">
        <v>3</v>
      </c>
      <c r="U4">
        <v>4.97</v>
      </c>
      <c r="V4">
        <v>20</v>
      </c>
      <c r="W4">
        <v>18</v>
      </c>
      <c r="Y4" s="4">
        <f>SUM(J:J)</f>
        <v>4.97</v>
      </c>
    </row>
    <row r="5" spans="1:25">
      <c r="A5" s="1" t="s">
        <v>26</v>
      </c>
      <c r="D5">
        <f t="shared" si="0"/>
        <v>5</v>
      </c>
      <c r="E5">
        <f t="shared" si="1"/>
        <v>3623</v>
      </c>
      <c r="F5">
        <v>4</v>
      </c>
      <c r="G5">
        <v>4</v>
      </c>
      <c r="H5">
        <v>0.73</v>
      </c>
      <c r="I5">
        <v>0.09</v>
      </c>
      <c r="J5">
        <v>0.57999999999999996</v>
      </c>
      <c r="K5">
        <v>0.1</v>
      </c>
      <c r="L5">
        <v>0.01</v>
      </c>
      <c r="N5">
        <v>0.02</v>
      </c>
      <c r="O5">
        <v>0.02</v>
      </c>
      <c r="Q5">
        <v>0.31</v>
      </c>
      <c r="T5">
        <v>4</v>
      </c>
      <c r="U5">
        <v>2.57</v>
      </c>
      <c r="V5">
        <v>14</v>
      </c>
      <c r="W5">
        <v>13</v>
      </c>
      <c r="Y5" s="4">
        <f>SUM(K:K)</f>
        <v>2.5700000000000003</v>
      </c>
    </row>
    <row r="6" spans="1:25">
      <c r="A6" s="1" t="s">
        <v>27</v>
      </c>
      <c r="D6">
        <f t="shared" si="0"/>
        <v>5</v>
      </c>
      <c r="E6">
        <f t="shared" si="1"/>
        <v>3623</v>
      </c>
      <c r="F6">
        <v>5</v>
      </c>
      <c r="G6">
        <v>5</v>
      </c>
      <c r="H6">
        <v>0.01</v>
      </c>
      <c r="L6">
        <v>0.17</v>
      </c>
      <c r="O6">
        <v>0.06</v>
      </c>
      <c r="P6">
        <v>0.32</v>
      </c>
      <c r="Q6">
        <v>0.09</v>
      </c>
      <c r="T6">
        <v>5</v>
      </c>
      <c r="U6">
        <v>3.21</v>
      </c>
      <c r="V6">
        <v>13</v>
      </c>
      <c r="W6">
        <v>11</v>
      </c>
      <c r="Y6" s="4">
        <f>SUM(L:L)</f>
        <v>3.21</v>
      </c>
    </row>
    <row r="7" spans="1:25">
      <c r="A7" s="1" t="s">
        <v>28</v>
      </c>
      <c r="D7">
        <f t="shared" si="0"/>
        <v>5</v>
      </c>
      <c r="E7">
        <f t="shared" si="1"/>
        <v>3623</v>
      </c>
      <c r="F7">
        <v>6</v>
      </c>
      <c r="G7">
        <v>6</v>
      </c>
      <c r="H7">
        <v>0.03</v>
      </c>
      <c r="O7">
        <v>0.08</v>
      </c>
      <c r="P7">
        <v>0.06</v>
      </c>
      <c r="Q7">
        <v>0.03</v>
      </c>
      <c r="T7">
        <v>6</v>
      </c>
      <c r="U7">
        <v>3.16</v>
      </c>
      <c r="V7">
        <v>14</v>
      </c>
      <c r="W7">
        <v>11</v>
      </c>
      <c r="Y7" s="4">
        <f>SUM(M:M)</f>
        <v>3.1599999999999997</v>
      </c>
    </row>
    <row r="8" spans="1:25">
      <c r="A8" s="1" t="s">
        <v>29</v>
      </c>
      <c r="D8">
        <f t="shared" si="0"/>
        <v>5</v>
      </c>
      <c r="E8">
        <f t="shared" si="1"/>
        <v>3623</v>
      </c>
      <c r="F8">
        <v>7</v>
      </c>
      <c r="G8">
        <v>7</v>
      </c>
      <c r="H8">
        <v>0.27</v>
      </c>
      <c r="K8">
        <v>0.1</v>
      </c>
      <c r="N8">
        <v>0.02</v>
      </c>
      <c r="Q8">
        <v>0.11</v>
      </c>
      <c r="R8">
        <v>0.32</v>
      </c>
      <c r="S8">
        <v>0.6</v>
      </c>
      <c r="T8">
        <v>7</v>
      </c>
      <c r="U8">
        <v>4.12</v>
      </c>
      <c r="V8">
        <v>21</v>
      </c>
      <c r="W8">
        <v>17</v>
      </c>
      <c r="Y8" s="4">
        <f>SUM(N:N)</f>
        <v>4.12</v>
      </c>
    </row>
    <row r="9" spans="1:25">
      <c r="A9" s="1" t="s">
        <v>30</v>
      </c>
      <c r="B9" s="2">
        <v>1930</v>
      </c>
      <c r="D9">
        <f t="shared" si="0"/>
        <v>5</v>
      </c>
      <c r="E9">
        <f t="shared" si="1"/>
        <v>3623</v>
      </c>
      <c r="F9">
        <v>8</v>
      </c>
      <c r="G9">
        <v>8</v>
      </c>
      <c r="J9">
        <v>0.18</v>
      </c>
      <c r="K9">
        <v>0.11</v>
      </c>
      <c r="O9">
        <v>0.09</v>
      </c>
      <c r="P9">
        <v>7.0000000000000007E-2</v>
      </c>
      <c r="Q9">
        <v>0.03</v>
      </c>
      <c r="T9">
        <v>8</v>
      </c>
      <c r="U9">
        <v>6.59</v>
      </c>
      <c r="V9">
        <v>26</v>
      </c>
      <c r="W9">
        <v>20</v>
      </c>
      <c r="Y9" s="4">
        <f>SUM(O:O)</f>
        <v>6.589999999999999</v>
      </c>
    </row>
    <row r="10" spans="1:25">
      <c r="A10" s="1" t="s">
        <v>16</v>
      </c>
      <c r="B10" s="2">
        <v>1</v>
      </c>
      <c r="D10">
        <f t="shared" si="0"/>
        <v>5</v>
      </c>
      <c r="E10">
        <f t="shared" si="1"/>
        <v>3623</v>
      </c>
      <c r="F10">
        <v>9</v>
      </c>
      <c r="G10">
        <v>9</v>
      </c>
      <c r="H10">
        <v>0.64</v>
      </c>
      <c r="J10">
        <v>0.22</v>
      </c>
      <c r="M10">
        <v>0.05</v>
      </c>
      <c r="O10">
        <v>0.2</v>
      </c>
      <c r="P10">
        <v>0.12</v>
      </c>
      <c r="Q10">
        <v>0.08</v>
      </c>
      <c r="R10">
        <v>0.02</v>
      </c>
      <c r="T10">
        <v>9</v>
      </c>
      <c r="U10">
        <v>4.07</v>
      </c>
      <c r="V10">
        <v>21</v>
      </c>
      <c r="W10">
        <v>14</v>
      </c>
      <c r="Y10" s="4">
        <f>SUM(P:P)</f>
        <v>4.07</v>
      </c>
    </row>
    <row r="11" spans="1:25">
      <c r="A11" s="1" t="s">
        <v>3</v>
      </c>
      <c r="B11" s="2">
        <v>1</v>
      </c>
      <c r="D11">
        <f t="shared" si="0"/>
        <v>5</v>
      </c>
      <c r="E11">
        <f t="shared" si="1"/>
        <v>3623</v>
      </c>
      <c r="F11">
        <v>10</v>
      </c>
      <c r="G11">
        <v>10</v>
      </c>
      <c r="J11">
        <v>0.19</v>
      </c>
      <c r="L11">
        <v>0.57999999999999996</v>
      </c>
      <c r="M11">
        <v>0.1</v>
      </c>
      <c r="O11">
        <v>0.09</v>
      </c>
      <c r="Q11">
        <v>0.19</v>
      </c>
      <c r="S11">
        <v>1.04</v>
      </c>
      <c r="T11">
        <v>10</v>
      </c>
      <c r="U11">
        <v>4.7699999999999996</v>
      </c>
      <c r="V11">
        <v>27</v>
      </c>
      <c r="W11">
        <v>20</v>
      </c>
      <c r="Y11" s="4">
        <f>SUM(Q:Q)</f>
        <v>4.7699999999999987</v>
      </c>
    </row>
    <row r="12" spans="1:25">
      <c r="A12" s="1" t="s">
        <v>31</v>
      </c>
      <c r="B12" s="2" t="s">
        <v>25</v>
      </c>
      <c r="D12">
        <f t="shared" si="0"/>
        <v>5</v>
      </c>
      <c r="E12">
        <f t="shared" si="1"/>
        <v>3623</v>
      </c>
      <c r="F12">
        <v>11</v>
      </c>
      <c r="G12">
        <v>11</v>
      </c>
      <c r="H12">
        <v>0.12</v>
      </c>
      <c r="J12">
        <v>0.18</v>
      </c>
      <c r="K12">
        <v>0.09</v>
      </c>
      <c r="L12">
        <v>0.17</v>
      </c>
      <c r="N12">
        <v>0.04</v>
      </c>
      <c r="O12">
        <v>0.04</v>
      </c>
      <c r="Q12">
        <v>0.03</v>
      </c>
      <c r="S12">
        <v>0.18</v>
      </c>
      <c r="T12">
        <v>11</v>
      </c>
      <c r="U12">
        <v>3.88</v>
      </c>
      <c r="V12">
        <v>13</v>
      </c>
      <c r="W12">
        <v>12</v>
      </c>
      <c r="Y12" s="4">
        <f>SUM(R:R)</f>
        <v>3.8800000000000003</v>
      </c>
    </row>
    <row r="13" spans="1:25">
      <c r="A13" s="1" t="s">
        <v>32</v>
      </c>
      <c r="B13" s="2" t="s">
        <v>33</v>
      </c>
      <c r="D13">
        <f t="shared" si="0"/>
        <v>5</v>
      </c>
      <c r="E13">
        <f t="shared" si="1"/>
        <v>3623</v>
      </c>
      <c r="F13">
        <v>12</v>
      </c>
      <c r="G13">
        <v>12</v>
      </c>
      <c r="H13">
        <v>0.74</v>
      </c>
      <c r="J13">
        <v>0.05</v>
      </c>
      <c r="K13">
        <v>0.17</v>
      </c>
      <c r="N13">
        <v>0.01</v>
      </c>
      <c r="O13">
        <v>0.12</v>
      </c>
      <c r="Q13">
        <v>0.22</v>
      </c>
      <c r="S13">
        <v>0.01</v>
      </c>
      <c r="T13">
        <v>12</v>
      </c>
      <c r="U13">
        <v>4.96</v>
      </c>
      <c r="V13">
        <v>14</v>
      </c>
      <c r="W13">
        <v>12</v>
      </c>
      <c r="Y13" s="4">
        <f>SUM(S:S)</f>
        <v>4.9599999999999991</v>
      </c>
    </row>
    <row r="14" spans="1:25">
      <c r="D14">
        <f t="shared" si="0"/>
        <v>5</v>
      </c>
      <c r="E14">
        <f t="shared" si="1"/>
        <v>3623</v>
      </c>
      <c r="F14">
        <v>13</v>
      </c>
      <c r="G14">
        <v>13</v>
      </c>
      <c r="H14">
        <v>0.34</v>
      </c>
      <c r="J14">
        <v>0.14000000000000001</v>
      </c>
      <c r="K14">
        <v>0.32</v>
      </c>
      <c r="L14">
        <v>0.14000000000000001</v>
      </c>
      <c r="N14">
        <v>0.76</v>
      </c>
      <c r="O14">
        <v>0.46</v>
      </c>
      <c r="P14">
        <v>0.65</v>
      </c>
      <c r="T14" t="s">
        <v>34</v>
      </c>
      <c r="U14" t="s">
        <v>34</v>
      </c>
      <c r="V14" t="s">
        <v>34</v>
      </c>
      <c r="W14" t="s">
        <v>34</v>
      </c>
    </row>
    <row r="15" spans="1:25" s="1" customFormat="1">
      <c r="A15" s="1" t="s">
        <v>0</v>
      </c>
      <c r="B15" s="3">
        <v>5</v>
      </c>
      <c r="D15">
        <f t="shared" si="0"/>
        <v>5</v>
      </c>
      <c r="E15">
        <f t="shared" si="1"/>
        <v>3623</v>
      </c>
      <c r="F15">
        <v>14</v>
      </c>
      <c r="G15">
        <v>14</v>
      </c>
      <c r="H15"/>
      <c r="I15">
        <v>0.14000000000000001</v>
      </c>
      <c r="J15">
        <v>0.89</v>
      </c>
      <c r="K15">
        <v>0.11</v>
      </c>
      <c r="L15">
        <v>0.11</v>
      </c>
      <c r="M15"/>
      <c r="N15">
        <v>0.05</v>
      </c>
      <c r="O15">
        <v>0.02</v>
      </c>
      <c r="P15">
        <v>0.14000000000000001</v>
      </c>
      <c r="Q15">
        <v>0.24</v>
      </c>
      <c r="S15"/>
      <c r="T15" t="s">
        <v>34</v>
      </c>
      <c r="U15" t="s">
        <v>34</v>
      </c>
      <c r="V15" t="s">
        <v>34</v>
      </c>
      <c r="W15" t="s">
        <v>34</v>
      </c>
    </row>
    <row r="16" spans="1:25">
      <c r="A16" s="1" t="s">
        <v>1</v>
      </c>
      <c r="B16" s="2">
        <v>3632</v>
      </c>
      <c r="D16">
        <f t="shared" si="0"/>
        <v>5</v>
      </c>
      <c r="E16">
        <f t="shared" si="1"/>
        <v>3623</v>
      </c>
      <c r="F16">
        <v>15</v>
      </c>
      <c r="G16">
        <v>15</v>
      </c>
      <c r="I16">
        <v>0.01</v>
      </c>
      <c r="J16">
        <v>0.36</v>
      </c>
      <c r="N16">
        <v>0.55000000000000004</v>
      </c>
      <c r="O16">
        <v>0.01</v>
      </c>
      <c r="P16">
        <v>0.02</v>
      </c>
      <c r="Q16">
        <v>0.08</v>
      </c>
      <c r="R16">
        <v>0.11</v>
      </c>
      <c r="S16">
        <v>0.83</v>
      </c>
      <c r="T16" t="s">
        <v>34</v>
      </c>
      <c r="U16" t="s">
        <v>34</v>
      </c>
      <c r="V16" t="s">
        <v>34</v>
      </c>
      <c r="W16" t="s">
        <v>34</v>
      </c>
    </row>
    <row r="17" spans="1:23">
      <c r="A17" s="1" t="s">
        <v>2</v>
      </c>
      <c r="B17" s="2">
        <v>1</v>
      </c>
      <c r="D17">
        <f t="shared" si="0"/>
        <v>5</v>
      </c>
      <c r="E17">
        <f t="shared" si="1"/>
        <v>3623</v>
      </c>
      <c r="F17">
        <v>16</v>
      </c>
      <c r="G17">
        <v>16</v>
      </c>
      <c r="H17">
        <v>0.41</v>
      </c>
      <c r="J17">
        <v>0.01</v>
      </c>
      <c r="L17">
        <v>0.01</v>
      </c>
      <c r="N17">
        <v>0.02</v>
      </c>
      <c r="P17">
        <v>0.31</v>
      </c>
      <c r="Q17">
        <v>0.41</v>
      </c>
      <c r="R17">
        <v>0.09</v>
      </c>
      <c r="T17" t="s">
        <v>34</v>
      </c>
      <c r="U17" t="s">
        <v>34</v>
      </c>
      <c r="V17" t="s">
        <v>34</v>
      </c>
      <c r="W17" t="s">
        <v>34</v>
      </c>
    </row>
    <row r="18" spans="1:23">
      <c r="A18" s="1" t="s">
        <v>35</v>
      </c>
      <c r="B18" s="2" t="s">
        <v>25</v>
      </c>
      <c r="D18">
        <f t="shared" si="0"/>
        <v>5</v>
      </c>
      <c r="E18">
        <f t="shared" si="1"/>
        <v>3623</v>
      </c>
      <c r="F18">
        <v>17</v>
      </c>
      <c r="G18">
        <v>17</v>
      </c>
      <c r="H18">
        <v>0.01</v>
      </c>
      <c r="L18">
        <v>0.41</v>
      </c>
      <c r="M18">
        <v>0.28999999999999998</v>
      </c>
      <c r="N18">
        <v>0.15</v>
      </c>
      <c r="O18">
        <v>1.1000000000000001</v>
      </c>
      <c r="P18">
        <v>0.01</v>
      </c>
      <c r="Q18">
        <v>0.64</v>
      </c>
      <c r="S18">
        <v>0.03</v>
      </c>
      <c r="T18" t="s">
        <v>34</v>
      </c>
      <c r="U18" t="s">
        <v>34</v>
      </c>
      <c r="V18" t="s">
        <v>34</v>
      </c>
      <c r="W18" t="s">
        <v>34</v>
      </c>
    </row>
    <row r="19" spans="1:23">
      <c r="A19" s="1" t="s">
        <v>30</v>
      </c>
      <c r="B19" s="2">
        <v>1930</v>
      </c>
      <c r="D19">
        <f t="shared" si="0"/>
        <v>5</v>
      </c>
      <c r="E19">
        <f t="shared" si="1"/>
        <v>3623</v>
      </c>
      <c r="F19">
        <v>18</v>
      </c>
      <c r="G19">
        <v>18</v>
      </c>
      <c r="H19">
        <v>0.06</v>
      </c>
      <c r="J19">
        <v>0.13</v>
      </c>
      <c r="L19">
        <v>0.05</v>
      </c>
      <c r="N19">
        <v>7.0000000000000007E-2</v>
      </c>
      <c r="O19">
        <v>0.97</v>
      </c>
      <c r="P19">
        <v>0.71</v>
      </c>
      <c r="Q19">
        <v>7.0000000000000007E-2</v>
      </c>
      <c r="R19">
        <v>0.45</v>
      </c>
      <c r="T19" t="s">
        <v>34</v>
      </c>
      <c r="U19" t="s">
        <v>34</v>
      </c>
      <c r="V19" t="s">
        <v>34</v>
      </c>
      <c r="W19" t="s">
        <v>34</v>
      </c>
    </row>
    <row r="20" spans="1:23">
      <c r="A20" s="1" t="s">
        <v>36</v>
      </c>
      <c r="B20" s="2" t="s">
        <v>23</v>
      </c>
      <c r="D20">
        <f t="shared" si="0"/>
        <v>5</v>
      </c>
      <c r="E20">
        <f t="shared" si="1"/>
        <v>3623</v>
      </c>
      <c r="F20">
        <v>19</v>
      </c>
      <c r="G20">
        <v>19</v>
      </c>
      <c r="H20">
        <v>0.17</v>
      </c>
      <c r="K20">
        <v>0.08</v>
      </c>
      <c r="M20">
        <v>0.36</v>
      </c>
      <c r="N20">
        <v>0.2</v>
      </c>
      <c r="O20">
        <v>0.13</v>
      </c>
      <c r="P20">
        <v>0.43</v>
      </c>
      <c r="Q20">
        <v>0.56999999999999995</v>
      </c>
      <c r="R20">
        <v>0.24</v>
      </c>
      <c r="T20" t="s">
        <v>34</v>
      </c>
      <c r="U20" t="s">
        <v>34</v>
      </c>
      <c r="V20" t="s">
        <v>34</v>
      </c>
      <c r="W20" t="s">
        <v>34</v>
      </c>
    </row>
    <row r="21" spans="1:23">
      <c r="A21" s="1" t="s">
        <v>37</v>
      </c>
      <c r="B21" s="2" t="s">
        <v>38</v>
      </c>
      <c r="D21">
        <f t="shared" si="0"/>
        <v>5</v>
      </c>
      <c r="E21">
        <f t="shared" si="1"/>
        <v>3623</v>
      </c>
      <c r="F21">
        <v>20</v>
      </c>
      <c r="G21">
        <v>20</v>
      </c>
      <c r="M21">
        <v>0.24</v>
      </c>
      <c r="N21">
        <v>0.12</v>
      </c>
      <c r="O21">
        <v>0.47</v>
      </c>
      <c r="P21">
        <v>0.66</v>
      </c>
      <c r="Q21">
        <v>0.06</v>
      </c>
      <c r="R21">
        <v>0.04</v>
      </c>
      <c r="T21" t="s">
        <v>34</v>
      </c>
      <c r="U21" t="s">
        <v>34</v>
      </c>
      <c r="V21" t="s">
        <v>34</v>
      </c>
      <c r="W21" t="s">
        <v>34</v>
      </c>
    </row>
    <row r="22" spans="1:23">
      <c r="A22" s="1" t="s">
        <v>39</v>
      </c>
      <c r="B22" s="2" t="s">
        <v>40</v>
      </c>
      <c r="D22">
        <f t="shared" si="0"/>
        <v>5</v>
      </c>
      <c r="E22">
        <f t="shared" si="1"/>
        <v>3623</v>
      </c>
      <c r="F22">
        <v>21</v>
      </c>
      <c r="G22">
        <v>21</v>
      </c>
      <c r="H22">
        <v>0.3</v>
      </c>
      <c r="J22">
        <v>0.18</v>
      </c>
      <c r="M22">
        <v>1.21</v>
      </c>
      <c r="O22">
        <v>0.01</v>
      </c>
      <c r="P22">
        <v>0.23</v>
      </c>
      <c r="R22">
        <v>0.69</v>
      </c>
      <c r="T22" t="s">
        <v>34</v>
      </c>
      <c r="U22" t="s">
        <v>34</v>
      </c>
      <c r="V22" t="s">
        <v>34</v>
      </c>
      <c r="W22" t="s">
        <v>34</v>
      </c>
    </row>
    <row r="23" spans="1:23">
      <c r="A23" s="1" t="s">
        <v>41</v>
      </c>
      <c r="B23" s="2">
        <v>0</v>
      </c>
      <c r="D23">
        <f t="shared" si="0"/>
        <v>5</v>
      </c>
      <c r="E23">
        <f t="shared" si="1"/>
        <v>3623</v>
      </c>
      <c r="F23">
        <v>22</v>
      </c>
      <c r="G23">
        <v>22</v>
      </c>
      <c r="H23">
        <v>0.28999999999999998</v>
      </c>
      <c r="J23">
        <v>0.37</v>
      </c>
      <c r="M23">
        <v>0.32</v>
      </c>
      <c r="O23">
        <v>0.21</v>
      </c>
      <c r="P23">
        <v>0.02</v>
      </c>
      <c r="Q23">
        <v>0.49</v>
      </c>
      <c r="S23">
        <v>0.13</v>
      </c>
      <c r="T23" t="s">
        <v>34</v>
      </c>
      <c r="U23" t="s">
        <v>34</v>
      </c>
      <c r="V23" t="s">
        <v>34</v>
      </c>
      <c r="W23" t="s">
        <v>34</v>
      </c>
    </row>
    <row r="24" spans="1:23">
      <c r="A24" s="1" t="s">
        <v>42</v>
      </c>
      <c r="B24" s="2">
        <v>10</v>
      </c>
      <c r="D24">
        <f t="shared" si="0"/>
        <v>5</v>
      </c>
      <c r="E24">
        <f t="shared" si="1"/>
        <v>3623</v>
      </c>
      <c r="F24">
        <v>23</v>
      </c>
      <c r="G24">
        <v>23</v>
      </c>
      <c r="K24">
        <v>0.21</v>
      </c>
      <c r="M24">
        <v>0.22</v>
      </c>
      <c r="O24">
        <v>0.05</v>
      </c>
      <c r="P24">
        <v>0.01</v>
      </c>
      <c r="Q24">
        <v>0.02</v>
      </c>
      <c r="R24">
        <v>0.93</v>
      </c>
      <c r="S24">
        <v>7.0000000000000007E-2</v>
      </c>
      <c r="T24" t="s">
        <v>34</v>
      </c>
      <c r="U24" t="s">
        <v>34</v>
      </c>
      <c r="V24" t="s">
        <v>34</v>
      </c>
      <c r="W24" t="s">
        <v>34</v>
      </c>
    </row>
    <row r="25" spans="1:23">
      <c r="A25" s="1" t="s">
        <v>43</v>
      </c>
      <c r="B25" s="2" t="s">
        <v>44</v>
      </c>
      <c r="D25">
        <f t="shared" si="0"/>
        <v>5</v>
      </c>
      <c r="E25">
        <f t="shared" si="1"/>
        <v>3623</v>
      </c>
      <c r="F25">
        <v>24</v>
      </c>
      <c r="G25">
        <v>24</v>
      </c>
      <c r="I25" s="5"/>
      <c r="J25">
        <v>0.14000000000000001</v>
      </c>
      <c r="K25">
        <v>0.08</v>
      </c>
      <c r="M25">
        <v>7.0000000000000007E-2</v>
      </c>
      <c r="O25">
        <v>0.23</v>
      </c>
      <c r="P25">
        <v>0.12</v>
      </c>
      <c r="Q25">
        <v>0.08</v>
      </c>
      <c r="R25">
        <v>0.32</v>
      </c>
      <c r="T25" t="s">
        <v>34</v>
      </c>
      <c r="U25" t="s">
        <v>34</v>
      </c>
      <c r="V25" t="s">
        <v>34</v>
      </c>
      <c r="W25" t="s">
        <v>34</v>
      </c>
    </row>
    <row r="26" spans="1:23">
      <c r="A26" s="1" t="s">
        <v>45</v>
      </c>
      <c r="B26" s="2" t="s">
        <v>34</v>
      </c>
      <c r="D26">
        <f t="shared" si="0"/>
        <v>5</v>
      </c>
      <c r="E26">
        <f t="shared" si="1"/>
        <v>3623</v>
      </c>
      <c r="F26">
        <v>25</v>
      </c>
      <c r="G26">
        <v>25</v>
      </c>
      <c r="I26" s="5">
        <v>0.16</v>
      </c>
      <c r="K26">
        <v>0.81</v>
      </c>
      <c r="L26">
        <v>0.8</v>
      </c>
      <c r="M26">
        <v>0.03</v>
      </c>
      <c r="N26">
        <v>0.13</v>
      </c>
      <c r="O26">
        <v>0.1</v>
      </c>
      <c r="P26">
        <v>0.04</v>
      </c>
      <c r="R26">
        <v>0.12</v>
      </c>
      <c r="S26">
        <v>0.18</v>
      </c>
      <c r="T26" t="s">
        <v>34</v>
      </c>
      <c r="U26" t="s">
        <v>34</v>
      </c>
      <c r="V26" t="s">
        <v>34</v>
      </c>
      <c r="W26" t="s">
        <v>34</v>
      </c>
    </row>
    <row r="27" spans="1:23">
      <c r="A27" s="1" t="s">
        <v>32</v>
      </c>
      <c r="D27">
        <f t="shared" si="0"/>
        <v>5</v>
      </c>
      <c r="E27">
        <f t="shared" si="1"/>
        <v>3623</v>
      </c>
      <c r="F27">
        <v>26</v>
      </c>
      <c r="G27">
        <v>26</v>
      </c>
      <c r="I27" s="5">
        <v>0.08</v>
      </c>
      <c r="L27">
        <v>0.45</v>
      </c>
      <c r="M27">
        <v>0.02</v>
      </c>
      <c r="N27">
        <v>0.09</v>
      </c>
      <c r="P27">
        <v>0.02</v>
      </c>
      <c r="Q27">
        <v>0.08</v>
      </c>
      <c r="S27">
        <v>0.17</v>
      </c>
      <c r="T27" t="s">
        <v>34</v>
      </c>
      <c r="U27" t="s">
        <v>34</v>
      </c>
      <c r="V27" t="s">
        <v>34</v>
      </c>
      <c r="W27" t="s">
        <v>34</v>
      </c>
    </row>
    <row r="28" spans="1:23">
      <c r="A28" s="1" t="s">
        <v>46</v>
      </c>
      <c r="B28" s="2">
        <v>48.98</v>
      </c>
      <c r="D28">
        <f t="shared" si="0"/>
        <v>5</v>
      </c>
      <c r="E28">
        <f t="shared" si="1"/>
        <v>3623</v>
      </c>
      <c r="F28">
        <v>27</v>
      </c>
      <c r="G28">
        <v>27</v>
      </c>
      <c r="N28">
        <v>0.3</v>
      </c>
      <c r="O28">
        <v>0.02</v>
      </c>
      <c r="Q28">
        <v>0.05</v>
      </c>
      <c r="S28">
        <v>0.16</v>
      </c>
      <c r="T28" t="s">
        <v>34</v>
      </c>
      <c r="U28" t="s">
        <v>34</v>
      </c>
      <c r="V28" t="s">
        <v>34</v>
      </c>
      <c r="W28" t="s">
        <v>34</v>
      </c>
    </row>
    <row r="29" spans="1:23">
      <c r="A29" s="1" t="s">
        <v>47</v>
      </c>
      <c r="B29" s="2">
        <v>210</v>
      </c>
      <c r="D29">
        <f t="shared" si="0"/>
        <v>5</v>
      </c>
      <c r="E29">
        <f t="shared" si="1"/>
        <v>3623</v>
      </c>
      <c r="F29">
        <v>28</v>
      </c>
      <c r="G29">
        <v>28</v>
      </c>
      <c r="H29">
        <v>0.17</v>
      </c>
      <c r="J29">
        <v>0.13</v>
      </c>
      <c r="N29">
        <v>0.56999999999999995</v>
      </c>
      <c r="O29">
        <v>0.56999999999999995</v>
      </c>
      <c r="P29">
        <v>0.02</v>
      </c>
      <c r="Q29">
        <v>0.02</v>
      </c>
      <c r="S29">
        <v>0.56000000000000005</v>
      </c>
      <c r="T29" t="s">
        <v>34</v>
      </c>
      <c r="U29" t="s">
        <v>34</v>
      </c>
      <c r="V29" t="s">
        <v>34</v>
      </c>
      <c r="W29" t="s">
        <v>34</v>
      </c>
    </row>
    <row r="30" spans="1:23">
      <c r="A30" s="1" t="s">
        <v>48</v>
      </c>
      <c r="B30" s="2">
        <v>171</v>
      </c>
      <c r="D30">
        <f t="shared" si="0"/>
        <v>5</v>
      </c>
      <c r="E30">
        <f t="shared" si="1"/>
        <v>3623</v>
      </c>
      <c r="F30">
        <v>29</v>
      </c>
      <c r="G30">
        <v>29</v>
      </c>
      <c r="H30">
        <v>0.34</v>
      </c>
      <c r="J30">
        <v>0.14000000000000001</v>
      </c>
      <c r="M30">
        <v>0.01</v>
      </c>
      <c r="N30">
        <v>0.18</v>
      </c>
      <c r="Q30">
        <v>0.21</v>
      </c>
      <c r="S30">
        <v>0.31</v>
      </c>
      <c r="T30" t="s">
        <v>34</v>
      </c>
      <c r="U30" t="s">
        <v>34</v>
      </c>
      <c r="V30" t="s">
        <v>34</v>
      </c>
      <c r="W30" t="s">
        <v>34</v>
      </c>
    </row>
    <row r="31" spans="1:23">
      <c r="A31" s="1" t="s">
        <v>49</v>
      </c>
      <c r="B31" s="2" t="s">
        <v>50</v>
      </c>
      <c r="D31">
        <f t="shared" si="0"/>
        <v>5</v>
      </c>
      <c r="E31">
        <f t="shared" si="1"/>
        <v>3623</v>
      </c>
      <c r="F31">
        <v>30</v>
      </c>
      <c r="G31">
        <v>30</v>
      </c>
      <c r="H31">
        <v>0.14000000000000001</v>
      </c>
      <c r="J31">
        <v>0.62</v>
      </c>
      <c r="L31">
        <v>0.21</v>
      </c>
      <c r="M31">
        <v>0.18</v>
      </c>
      <c r="O31">
        <v>0.08</v>
      </c>
      <c r="P31">
        <v>0.08</v>
      </c>
      <c r="Q31">
        <v>0.14000000000000001</v>
      </c>
      <c r="S31">
        <v>0.69</v>
      </c>
      <c r="T31" t="s">
        <v>34</v>
      </c>
      <c r="U31" t="s">
        <v>34</v>
      </c>
      <c r="V31" t="s">
        <v>34</v>
      </c>
      <c r="W31" t="s">
        <v>34</v>
      </c>
    </row>
    <row r="32" spans="1:23">
      <c r="A32" s="1" t="s">
        <v>51</v>
      </c>
      <c r="B32" s="2" t="s">
        <v>34</v>
      </c>
      <c r="D32">
        <f t="shared" si="0"/>
        <v>5</v>
      </c>
      <c r="E32">
        <f t="shared" si="1"/>
        <v>3623</v>
      </c>
      <c r="F32">
        <v>31</v>
      </c>
      <c r="G32">
        <v>31</v>
      </c>
      <c r="H32">
        <v>0.8</v>
      </c>
      <c r="J32">
        <v>0.35</v>
      </c>
      <c r="N32">
        <v>7.0000000000000007E-2</v>
      </c>
      <c r="Q32">
        <v>0.03</v>
      </c>
      <c r="T32" t="s">
        <v>34</v>
      </c>
      <c r="U32" t="s">
        <v>34</v>
      </c>
      <c r="V32" t="s">
        <v>34</v>
      </c>
      <c r="W32" t="s">
        <v>34</v>
      </c>
    </row>
    <row r="33" spans="1:2">
      <c r="A33" s="1" t="s">
        <v>52</v>
      </c>
      <c r="B33" s="2" t="s">
        <v>34</v>
      </c>
    </row>
    <row r="34" spans="1:2">
      <c r="A34" s="1" t="s">
        <v>53</v>
      </c>
      <c r="B34" s="2" t="s">
        <v>34</v>
      </c>
    </row>
    <row r="35" spans="1:2">
      <c r="A35" s="1" t="s">
        <v>54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2016-09-30T11:06:00Z</dcterms:created>
  <dcterms:modified xsi:type="dcterms:W3CDTF">2018-04-10T08:53:12Z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