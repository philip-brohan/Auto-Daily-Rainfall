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encetek/Desktop/"/>
    </mc:Choice>
  </mc:AlternateContent>
  <bookViews>
    <workbookView xWindow="7200" yWindow="1200" windowWidth="14360" windowHeight="16100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<sst xmlns="http://schemas.openxmlformats.org/spreadsheetml/2006/main" count="147" uniqueCount="58">
  <si>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</si>
  <si>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</si>
  <si>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</si>
  <si>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</si>
  <si>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</si>
  <si>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</si>
  <si>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</si>
  <si>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</si>
  <si>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</si>
  <si>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</si>
  <si>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</si>
  <si>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</si>
  <si>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</si>
  <si>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</si>
  <si>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</si>
  <si>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</si>
  <si>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</si>
  <si>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</si>
  <si>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</si>
  <si>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</si>
  <si>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</si>
  <si>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</si>
  <si>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</si>
  <si>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</si>
  <si>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</si>
  <si>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</si>
  <si>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</si>
  <si>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</si>
  <si>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</si>
  <si>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</si>
  <si>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</si>
  <si>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</si>
  <si>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</si>
  <si>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</si>
  <si>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</si>
  <si>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</si>
  <si>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</si>
  <si>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</si>
  <si>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</si>
  <si>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</si>
  <si>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</si>
  <si>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</si>
  <si>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</si>
  <si>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</si>
  <si>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</si>
  <si>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</si>
  <si>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</si>
  <si>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</si>
  <si>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</si>
  <si>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Castlecomer House</t>
  </si>
  <si>
    <t>Good quality</t>
  </si>
  <si>
    <t>Kilkenny</t>
  </si>
  <si>
    <t>5inch</t>
  </si>
  <si>
    <t>380ft</t>
  </si>
  <si>
    <t>R.H. Prior-Wandesforde</t>
  </si>
  <si>
    <t>Castlecomer</t>
  </si>
  <si>
    <t>10am</t>
  </si>
  <si>
    <t>P.S.: Last number of wet days in January appears to be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</si>
</sst>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18" fillId="0" borderId="0" xfId="0" applyFont="1"/>
  </cellXfs>
  <cellStyles count="42">
    <cellStyle name="20 % - Accent1" xfId="19" builtinId="30" customBuiltin="1"/>
    <cellStyle name="20 % - Accent2" xfId="23" builtinId="34" customBuiltin="1"/>
    <cellStyle name="20 % - Accent3" xfId="27" builtinId="38" customBuiltin="1"/>
    <cellStyle name="20 % - Accent4" xfId="31" builtinId="42" customBuiltin="1"/>
    <cellStyle name="20 % - Accent5" xfId="35" builtinId="46" customBuiltin="1"/>
    <cellStyle name="20 % - Accent6" xfId="39" builtinId="50" customBuiltin="1"/>
    <cellStyle name="40 % - Accent1" xfId="20" builtinId="31" customBuiltin="1"/>
    <cellStyle name="40 % - Accent2" xfId="24" builtinId="35" customBuiltin="1"/>
    <cellStyle name="40 % - Accent3" xfId="28" builtinId="39" customBuiltin="1"/>
    <cellStyle name="40 % - Accent4" xfId="32" builtinId="43" customBuiltin="1"/>
    <cellStyle name="40 % - Accent5" xfId="36" builtinId="47" customBuiltin="1"/>
    <cellStyle name="40 % - Accent6" xfId="40" builtinId="51" customBuiltin="1"/>
    <cellStyle name="60 % - Accent1" xfId="21" builtinId="32" customBuiltin="1"/>
    <cellStyle name="60 % - Accent2" xfId="25" builtinId="36" customBuiltin="1"/>
    <cellStyle name="60 % - Accent3" xfId="29" builtinId="40" customBuiltin="1"/>
    <cellStyle name="60 % - Accent4" xfId="33" builtinId="44" customBuiltin="1"/>
    <cellStyle name="60 % - Accent5" xfId="37" builtinId="48" customBuiltin="1"/>
    <cellStyle name="60 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A9" zoomScale="130" zoomScaleNormal="130" workbookViewId="0">
      <selection activeCell="B27" sqref="B27"/>
    </sheetView>
  </sheetViews>
  <sheetFormatPr baseColWidth="10" defaultColWidth="8.83203125" defaultRowHeight="15" x14ac:dyDescent="0.2"/>
  <cols>
    <col min="1" max="1" width="22.6640625" customWidth="1"/>
    <col min="2" max="2" width="14.83203125" style="3" customWidth="1"/>
  </cols>
  <sheetData>
    <row r="1" spans="1:25" x14ac:dyDescent="0.2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">
      <c r="A2" s="1" t="s">
        <v>1</v>
      </c>
      <c r="B2" s="3">
        <v>4617</v>
      </c>
      <c r="D2">
        <f>($B$1)</f>
        <v>5</v>
      </c>
      <c r="E2">
        <f>($B$2)</f>
        <v>4617</v>
      </c>
      <c r="F2">
        <v>1</v>
      </c>
      <c r="G2">
        <v>1</v>
      </c>
      <c r="H2">
        <v>0.02</v>
      </c>
      <c r="J2">
        <v>0.1</v>
      </c>
      <c r="L2">
        <v>0.26</v>
      </c>
      <c r="N2">
        <v>0.37</v>
      </c>
      <c r="O2">
        <v>0.09</v>
      </c>
      <c r="P2">
        <v>0.03</v>
      </c>
      <c r="Q2">
        <v>7.0000000000000007E-2</v>
      </c>
      <c r="R2">
        <v>0.47</v>
      </c>
      <c r="S2">
        <v>0.05</v>
      </c>
      <c r="T2">
        <v>1</v>
      </c>
      <c r="U2">
        <v>6.68</v>
      </c>
      <c r="V2">
        <v>24</v>
      </c>
      <c r="W2">
        <v>21</v>
      </c>
      <c r="Y2" s="2">
        <f>SUM(H2:H32)</f>
        <v>6.6800000000000006</v>
      </c>
    </row>
    <row r="3" spans="1:25" x14ac:dyDescent="0.2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4617</v>
      </c>
      <c r="F3">
        <v>2</v>
      </c>
      <c r="G3">
        <v>2</v>
      </c>
      <c r="H3">
        <v>0.2</v>
      </c>
      <c r="L3">
        <v>0.01</v>
      </c>
      <c r="M3">
        <v>0.02</v>
      </c>
      <c r="N3">
        <v>0.09</v>
      </c>
      <c r="O3">
        <v>0.11</v>
      </c>
      <c r="Q3">
        <v>7.0000000000000007E-2</v>
      </c>
      <c r="R3">
        <v>0.02</v>
      </c>
      <c r="T3">
        <v>2</v>
      </c>
      <c r="U3">
        <v>1.67</v>
      </c>
      <c r="V3">
        <v>9</v>
      </c>
      <c r="W3">
        <v>5</v>
      </c>
      <c r="Y3" s="2">
        <f>SUM(I:I)</f>
        <v>1.6700000000000002</v>
      </c>
    </row>
    <row r="4" spans="1:25" x14ac:dyDescent="0.2">
      <c r="A4" s="1" t="s">
        <v>3</v>
      </c>
      <c r="B4" s="3" t="s">
        <v>48</v>
      </c>
      <c r="D4">
        <f t="shared" si="0"/>
        <v>5</v>
      </c>
      <c r="E4">
        <f t="shared" si="1"/>
        <v>4617</v>
      </c>
      <c r="F4">
        <v>3</v>
      </c>
      <c r="G4">
        <v>3</v>
      </c>
      <c r="H4">
        <v>0.4</v>
      </c>
      <c r="J4">
        <v>7.0000000000000007E-2</v>
      </c>
      <c r="L4">
        <v>0.01</v>
      </c>
      <c r="M4">
        <v>0.05</v>
      </c>
      <c r="N4">
        <v>0.33</v>
      </c>
      <c r="O4">
        <v>0.15</v>
      </c>
      <c r="S4">
        <v>0.19</v>
      </c>
      <c r="T4">
        <v>3</v>
      </c>
      <c r="U4">
        <v>1.75</v>
      </c>
      <c r="V4">
        <v>9</v>
      </c>
      <c r="W4">
        <v>8</v>
      </c>
      <c r="Y4" s="2">
        <f>SUM(J:J)</f>
        <v>1.75</v>
      </c>
    </row>
    <row r="5" spans="1:25" x14ac:dyDescent="0.2">
      <c r="A5" s="1" t="s">
        <v>4</v>
      </c>
      <c r="D5">
        <f t="shared" si="0"/>
        <v>5</v>
      </c>
      <c r="E5">
        <f t="shared" si="1"/>
        <v>4617</v>
      </c>
      <c r="F5">
        <v>4</v>
      </c>
      <c r="G5">
        <v>4</v>
      </c>
      <c r="H5">
        <v>0.01</v>
      </c>
      <c r="L5">
        <v>0.05</v>
      </c>
      <c r="M5">
        <v>0.25</v>
      </c>
      <c r="N5">
        <v>0.63</v>
      </c>
      <c r="O5">
        <v>0.12</v>
      </c>
      <c r="Q5">
        <v>0.15</v>
      </c>
      <c r="S5">
        <v>0.15</v>
      </c>
      <c r="T5">
        <v>4</v>
      </c>
      <c r="U5">
        <v>3.69</v>
      </c>
      <c r="V5">
        <v>14</v>
      </c>
      <c r="W5">
        <v>13</v>
      </c>
      <c r="Y5" s="2">
        <f>SUM(K:K)</f>
        <v>3.6900000000000004</v>
      </c>
    </row>
    <row r="6" spans="1:25" x14ac:dyDescent="0.2">
      <c r="A6" s="1" t="s">
        <v>5</v>
      </c>
      <c r="D6">
        <f t="shared" si="0"/>
        <v>5</v>
      </c>
      <c r="E6">
        <f t="shared" si="1"/>
        <v>4617</v>
      </c>
      <c r="F6">
        <v>5</v>
      </c>
      <c r="G6">
        <v>5</v>
      </c>
      <c r="H6">
        <v>0.03</v>
      </c>
      <c r="I6">
        <v>0.05</v>
      </c>
      <c r="J6">
        <v>0.11</v>
      </c>
      <c r="L6">
        <v>0.24</v>
      </c>
      <c r="M6">
        <v>0.23</v>
      </c>
      <c r="N6">
        <v>0.43</v>
      </c>
      <c r="Q6">
        <v>0.09</v>
      </c>
      <c r="R6">
        <v>0.01</v>
      </c>
      <c r="S6">
        <v>0.11</v>
      </c>
      <c r="T6">
        <v>5</v>
      </c>
      <c r="U6">
        <v>3.95</v>
      </c>
      <c r="V6">
        <v>26</v>
      </c>
      <c r="W6">
        <v>19</v>
      </c>
      <c r="Y6" s="2">
        <f>SUM(L:L)</f>
        <v>3.9499999999999993</v>
      </c>
    </row>
    <row r="7" spans="1:25" x14ac:dyDescent="0.2">
      <c r="A7" s="1" t="s">
        <v>6</v>
      </c>
      <c r="D7">
        <f t="shared" si="0"/>
        <v>5</v>
      </c>
      <c r="E7">
        <f t="shared" si="1"/>
        <v>4617</v>
      </c>
      <c r="F7">
        <v>6</v>
      </c>
      <c r="G7">
        <v>6</v>
      </c>
      <c r="H7">
        <v>0.4</v>
      </c>
      <c r="L7">
        <v>0.05</v>
      </c>
      <c r="M7">
        <v>0.17</v>
      </c>
      <c r="N7">
        <v>0.13</v>
      </c>
      <c r="P7">
        <v>0.14000000000000001</v>
      </c>
      <c r="Q7">
        <v>0.21</v>
      </c>
      <c r="T7">
        <v>6</v>
      </c>
      <c r="U7" s="5">
        <v>4.71</v>
      </c>
      <c r="V7">
        <v>23</v>
      </c>
      <c r="W7">
        <v>19</v>
      </c>
      <c r="Y7" s="2">
        <f>SUM(M:M)</f>
        <v>4.71</v>
      </c>
    </row>
    <row r="8" spans="1:25" x14ac:dyDescent="0.2">
      <c r="A8" s="1" t="s">
        <v>7</v>
      </c>
      <c r="D8">
        <f t="shared" si="0"/>
        <v>5</v>
      </c>
      <c r="E8">
        <f t="shared" si="1"/>
        <v>4617</v>
      </c>
      <c r="F8">
        <v>7</v>
      </c>
      <c r="G8">
        <v>7</v>
      </c>
      <c r="H8">
        <v>0.2</v>
      </c>
      <c r="I8">
        <v>0.06</v>
      </c>
      <c r="L8">
        <v>0.16</v>
      </c>
      <c r="M8">
        <v>0.5</v>
      </c>
      <c r="P8">
        <v>0.88</v>
      </c>
      <c r="S8">
        <v>0.15</v>
      </c>
      <c r="T8">
        <v>7</v>
      </c>
      <c r="U8" s="5">
        <v>3.78</v>
      </c>
      <c r="V8">
        <v>22</v>
      </c>
      <c r="W8">
        <v>16</v>
      </c>
      <c r="Y8" s="2">
        <f>SUM(N:N)</f>
        <v>3.7799999999999989</v>
      </c>
    </row>
    <row r="9" spans="1:25" x14ac:dyDescent="0.2">
      <c r="A9" s="1" t="s">
        <v>8</v>
      </c>
      <c r="B9" s="3">
        <v>1924</v>
      </c>
      <c r="D9">
        <f t="shared" si="0"/>
        <v>5</v>
      </c>
      <c r="E9">
        <f t="shared" si="1"/>
        <v>4617</v>
      </c>
      <c r="F9">
        <v>8</v>
      </c>
      <c r="G9">
        <v>8</v>
      </c>
      <c r="H9">
        <v>0.5</v>
      </c>
      <c r="I9">
        <v>1.2</v>
      </c>
      <c r="J9">
        <v>0.05</v>
      </c>
      <c r="L9">
        <v>0.01</v>
      </c>
      <c r="M9">
        <v>0.11</v>
      </c>
      <c r="P9">
        <v>0.45</v>
      </c>
      <c r="Q9">
        <v>0.09</v>
      </c>
      <c r="R9">
        <v>0.01</v>
      </c>
      <c r="T9">
        <v>8</v>
      </c>
      <c r="U9">
        <v>3.9</v>
      </c>
      <c r="V9">
        <v>25</v>
      </c>
      <c r="W9">
        <v>21</v>
      </c>
      <c r="Y9" s="2">
        <f>SUM(O:O)</f>
        <v>3.899999999999999</v>
      </c>
    </row>
    <row r="10" spans="1:25" x14ac:dyDescent="0.2">
      <c r="A10" s="1" t="s">
        <v>9</v>
      </c>
      <c r="B10" s="3">
        <v>1</v>
      </c>
      <c r="D10">
        <f t="shared" si="0"/>
        <v>5</v>
      </c>
      <c r="E10">
        <f t="shared" si="1"/>
        <v>4617</v>
      </c>
      <c r="F10">
        <v>9</v>
      </c>
      <c r="G10">
        <v>9</v>
      </c>
      <c r="H10">
        <v>0.2</v>
      </c>
      <c r="J10">
        <v>0.04</v>
      </c>
      <c r="K10">
        <v>0.34</v>
      </c>
      <c r="L10">
        <v>0.88</v>
      </c>
      <c r="M10">
        <v>0.37</v>
      </c>
      <c r="N10">
        <v>0.02</v>
      </c>
      <c r="P10">
        <v>0.05</v>
      </c>
      <c r="Q10">
        <v>0.28999999999999998</v>
      </c>
      <c r="R10">
        <v>0.28000000000000003</v>
      </c>
      <c r="S10">
        <v>0.09</v>
      </c>
      <c r="T10">
        <v>9</v>
      </c>
      <c r="U10">
        <v>6.23</v>
      </c>
      <c r="V10">
        <v>19</v>
      </c>
      <c r="W10">
        <v>15</v>
      </c>
      <c r="Y10" s="2">
        <f>SUM(P:P)</f>
        <v>6.2299999999999986</v>
      </c>
    </row>
    <row r="11" spans="1:25" x14ac:dyDescent="0.2">
      <c r="A11" s="1" t="s">
        <v>10</v>
      </c>
      <c r="B11" s="3">
        <v>1</v>
      </c>
      <c r="D11">
        <f t="shared" si="0"/>
        <v>5</v>
      </c>
      <c r="E11">
        <f t="shared" si="1"/>
        <v>4617</v>
      </c>
      <c r="F11">
        <v>10</v>
      </c>
      <c r="G11">
        <v>10</v>
      </c>
      <c r="I11">
        <v>0.15</v>
      </c>
      <c r="K11">
        <v>0.08</v>
      </c>
      <c r="L11">
        <v>0.13</v>
      </c>
      <c r="M11">
        <v>0.3</v>
      </c>
      <c r="N11">
        <v>0.19</v>
      </c>
      <c r="O11">
        <v>0.02</v>
      </c>
      <c r="P11">
        <v>0.1</v>
      </c>
      <c r="Q11">
        <v>0.1</v>
      </c>
      <c r="R11">
        <v>0.12</v>
      </c>
      <c r="S11">
        <v>0.11</v>
      </c>
      <c r="T11">
        <v>10</v>
      </c>
      <c r="U11">
        <v>3.38</v>
      </c>
      <c r="V11">
        <v>23</v>
      </c>
      <c r="W11">
        <v>20</v>
      </c>
      <c r="Y11" s="2">
        <f>SUM(Q:Q)</f>
        <v>3.38</v>
      </c>
    </row>
    <row r="12" spans="1:25" x14ac:dyDescent="0.2">
      <c r="A12" s="1" t="s">
        <v>11</v>
      </c>
      <c r="B12" s="3" t="s">
        <v>48</v>
      </c>
      <c r="D12">
        <f t="shared" si="0"/>
        <v>5</v>
      </c>
      <c r="E12">
        <f t="shared" si="1"/>
        <v>4617</v>
      </c>
      <c r="F12">
        <v>11</v>
      </c>
      <c r="G12">
        <v>11</v>
      </c>
      <c r="K12">
        <v>0.32</v>
      </c>
      <c r="L12">
        <v>0.01</v>
      </c>
      <c r="M12">
        <v>0.28000000000000003</v>
      </c>
      <c r="O12">
        <v>0.35</v>
      </c>
      <c r="P12">
        <v>0.02</v>
      </c>
      <c r="Q12">
        <v>0.08</v>
      </c>
      <c r="S12">
        <v>0.02</v>
      </c>
      <c r="T12">
        <v>11</v>
      </c>
      <c r="U12">
        <v>4.6500000000000004</v>
      </c>
      <c r="V12">
        <v>19</v>
      </c>
      <c r="W12">
        <v>12</v>
      </c>
      <c r="Y12" s="2">
        <f>SUM(R:R)</f>
        <v>4.6500000000000004</v>
      </c>
    </row>
    <row r="13" spans="1:25" x14ac:dyDescent="0.2">
      <c r="A13" s="1" t="s">
        <v>12</v>
      </c>
      <c r="B13" s="3" t="s">
        <v>50</v>
      </c>
      <c r="D13">
        <f t="shared" si="0"/>
        <v>5</v>
      </c>
      <c r="E13">
        <f t="shared" si="1"/>
        <v>4617</v>
      </c>
      <c r="F13">
        <v>12</v>
      </c>
      <c r="G13">
        <v>12</v>
      </c>
      <c r="H13">
        <v>1.4</v>
      </c>
      <c r="K13">
        <v>0.24</v>
      </c>
      <c r="L13">
        <v>0.04</v>
      </c>
      <c r="M13">
        <v>0.1</v>
      </c>
      <c r="P13">
        <v>0.01</v>
      </c>
      <c r="Q13">
        <v>0.1</v>
      </c>
      <c r="S13">
        <v>0.52</v>
      </c>
      <c r="T13">
        <v>12</v>
      </c>
      <c r="U13">
        <v>5.24</v>
      </c>
      <c r="V13">
        <v>23</v>
      </c>
      <c r="W13">
        <v>17</v>
      </c>
      <c r="Y13" s="2">
        <f>SUM(S:S)</f>
        <v>5.24</v>
      </c>
    </row>
    <row r="14" spans="1:25" x14ac:dyDescent="0.2">
      <c r="D14">
        <f t="shared" si="0"/>
        <v>5</v>
      </c>
      <c r="E14">
        <f t="shared" si="1"/>
        <v>4617</v>
      </c>
      <c r="F14">
        <v>13</v>
      </c>
      <c r="G14">
        <v>13</v>
      </c>
      <c r="K14">
        <v>0.23</v>
      </c>
      <c r="N14">
        <v>0.05</v>
      </c>
      <c r="O14">
        <v>0.43</v>
      </c>
      <c r="R14">
        <v>0.19</v>
      </c>
      <c r="S14">
        <v>0.01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">
      <c r="A15" s="1" t="s">
        <v>0</v>
      </c>
      <c r="B15" s="4">
        <v>5</v>
      </c>
      <c r="D15">
        <f t="shared" si="0"/>
        <v>5</v>
      </c>
      <c r="E15">
        <f t="shared" si="1"/>
        <v>4617</v>
      </c>
      <c r="F15">
        <v>14</v>
      </c>
      <c r="G15">
        <v>14</v>
      </c>
      <c r="H15">
        <v>0.99</v>
      </c>
      <c r="I15"/>
      <c r="J15"/>
      <c r="K15"/>
      <c r="L15">
        <v>0.04</v>
      </c>
      <c r="M15"/>
      <c r="N15"/>
      <c r="O15">
        <v>0.09</v>
      </c>
      <c r="P15">
        <v>0.05</v>
      </c>
      <c r="Q15"/>
      <c r="R15">
        <v>0.18</v>
      </c>
      <c r="S15">
        <v>0.25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">
      <c r="A16" s="1" t="s">
        <v>13</v>
      </c>
      <c r="B16" s="3">
        <v>4617</v>
      </c>
      <c r="D16">
        <f t="shared" si="0"/>
        <v>5</v>
      </c>
      <c r="E16">
        <f t="shared" si="1"/>
        <v>4617</v>
      </c>
      <c r="F16">
        <v>15</v>
      </c>
      <c r="G16">
        <v>15</v>
      </c>
      <c r="H16">
        <v>0.57999999999999996</v>
      </c>
      <c r="L16">
        <v>0.12</v>
      </c>
      <c r="M16">
        <v>0.39</v>
      </c>
      <c r="N16">
        <v>0.15</v>
      </c>
      <c r="O16">
        <v>0.4</v>
      </c>
      <c r="P16">
        <v>0.16</v>
      </c>
      <c r="R16">
        <v>0.02</v>
      </c>
      <c r="S16">
        <v>0.71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">
      <c r="A17" s="1" t="s">
        <v>14</v>
      </c>
      <c r="B17" s="3">
        <v>1</v>
      </c>
      <c r="D17">
        <f t="shared" si="0"/>
        <v>5</v>
      </c>
      <c r="E17">
        <f t="shared" si="1"/>
        <v>4617</v>
      </c>
      <c r="F17">
        <v>16</v>
      </c>
      <c r="G17">
        <v>16</v>
      </c>
      <c r="H17">
        <v>0.28000000000000003</v>
      </c>
      <c r="I17">
        <v>0.03</v>
      </c>
      <c r="K17">
        <v>0.01</v>
      </c>
      <c r="L17">
        <v>0.01</v>
      </c>
      <c r="M17">
        <v>0.22</v>
      </c>
      <c r="N17">
        <v>0.02</v>
      </c>
      <c r="O17">
        <v>0.17</v>
      </c>
      <c r="P17">
        <v>0.1</v>
      </c>
      <c r="Q17">
        <v>0.02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">
      <c r="A18" s="1" t="s">
        <v>31</v>
      </c>
      <c r="B18" s="3" t="s">
        <v>48</v>
      </c>
      <c r="D18">
        <f t="shared" si="0"/>
        <v>5</v>
      </c>
      <c r="E18">
        <f t="shared" si="1"/>
        <v>4617</v>
      </c>
      <c r="F18">
        <v>17</v>
      </c>
      <c r="G18">
        <v>17</v>
      </c>
      <c r="H18">
        <v>0.36</v>
      </c>
      <c r="I18">
        <v>0.1</v>
      </c>
      <c r="K18">
        <v>0.04</v>
      </c>
      <c r="M18">
        <v>0.5</v>
      </c>
      <c r="N18">
        <v>0.12</v>
      </c>
      <c r="O18">
        <v>0.05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">
      <c r="A19" s="1" t="s">
        <v>8</v>
      </c>
      <c r="B19" s="3">
        <v>1924</v>
      </c>
      <c r="D19">
        <f t="shared" si="0"/>
        <v>5</v>
      </c>
      <c r="E19">
        <f t="shared" si="1"/>
        <v>4617</v>
      </c>
      <c r="F19">
        <v>18</v>
      </c>
      <c r="G19">
        <v>18</v>
      </c>
      <c r="H19">
        <v>0.05</v>
      </c>
      <c r="M19">
        <v>0.2</v>
      </c>
      <c r="N19">
        <v>0.03</v>
      </c>
      <c r="O19">
        <v>0.16</v>
      </c>
      <c r="Q19">
        <v>0.75</v>
      </c>
      <c r="S19">
        <v>0.03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">
      <c r="A20" s="1" t="s">
        <v>32</v>
      </c>
      <c r="B20" s="3" t="s">
        <v>49</v>
      </c>
      <c r="D20">
        <f t="shared" si="0"/>
        <v>5</v>
      </c>
      <c r="E20">
        <f t="shared" si="1"/>
        <v>4617</v>
      </c>
      <c r="F20">
        <v>19</v>
      </c>
      <c r="G20">
        <v>19</v>
      </c>
      <c r="H20">
        <v>0.05</v>
      </c>
      <c r="I20">
        <v>0.02</v>
      </c>
      <c r="L20">
        <v>0.11</v>
      </c>
      <c r="M20">
        <v>0.01</v>
      </c>
      <c r="N20">
        <v>0.03</v>
      </c>
      <c r="O20">
        <v>0.08</v>
      </c>
      <c r="P20">
        <v>1.51</v>
      </c>
      <c r="Q20">
        <v>0.04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">
      <c r="A21" s="1" t="s">
        <v>33</v>
      </c>
      <c r="B21" s="3" t="s">
        <v>51</v>
      </c>
      <c r="D21">
        <f t="shared" si="0"/>
        <v>5</v>
      </c>
      <c r="E21">
        <f t="shared" si="1"/>
        <v>4617</v>
      </c>
      <c r="F21">
        <v>20</v>
      </c>
      <c r="G21">
        <v>20</v>
      </c>
      <c r="H21">
        <v>0.34</v>
      </c>
      <c r="L21">
        <v>0.3</v>
      </c>
      <c r="M21">
        <v>0.22</v>
      </c>
      <c r="O21">
        <v>0.21</v>
      </c>
      <c r="P21">
        <v>0.08</v>
      </c>
      <c r="Q21">
        <v>0.2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">
      <c r="A22" s="1" t="s">
        <v>34</v>
      </c>
      <c r="B22" s="3" t="s">
        <v>52</v>
      </c>
      <c r="D22">
        <f t="shared" si="0"/>
        <v>5</v>
      </c>
      <c r="E22">
        <f t="shared" si="1"/>
        <v>4617</v>
      </c>
      <c r="F22">
        <v>21</v>
      </c>
      <c r="G22">
        <v>21</v>
      </c>
      <c r="H22">
        <v>0.36</v>
      </c>
      <c r="J22">
        <v>0.02</v>
      </c>
      <c r="L22">
        <v>0.13</v>
      </c>
      <c r="M22">
        <v>0.09</v>
      </c>
      <c r="O22">
        <v>0.31</v>
      </c>
      <c r="P22">
        <v>0.36</v>
      </c>
      <c r="Q22">
        <v>0.08</v>
      </c>
      <c r="R22">
        <v>0.04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">
      <c r="A23" s="1" t="s">
        <v>35</v>
      </c>
      <c r="B23" s="3">
        <v>1</v>
      </c>
      <c r="D23">
        <f t="shared" si="0"/>
        <v>5</v>
      </c>
      <c r="E23">
        <f t="shared" si="1"/>
        <v>4617</v>
      </c>
      <c r="F23">
        <v>22</v>
      </c>
      <c r="G23">
        <v>22</v>
      </c>
      <c r="J23">
        <v>0.28999999999999998</v>
      </c>
      <c r="L23">
        <v>0.1</v>
      </c>
      <c r="O23">
        <v>0.13</v>
      </c>
      <c r="P23">
        <v>0.5</v>
      </c>
      <c r="R23">
        <v>0.02</v>
      </c>
      <c r="S23">
        <v>0.57999999999999996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">
      <c r="A24" s="1" t="s">
        <v>36</v>
      </c>
      <c r="B24" s="3">
        <v>0</v>
      </c>
      <c r="D24">
        <f t="shared" si="0"/>
        <v>5</v>
      </c>
      <c r="E24">
        <f t="shared" si="1"/>
        <v>4617</v>
      </c>
      <c r="F24">
        <v>23</v>
      </c>
      <c r="G24">
        <v>23</v>
      </c>
      <c r="H24">
        <v>0.15</v>
      </c>
      <c r="I24">
        <v>0.03</v>
      </c>
      <c r="J24">
        <v>0.19</v>
      </c>
      <c r="L24">
        <v>0.17</v>
      </c>
      <c r="N24">
        <v>0.12</v>
      </c>
      <c r="O24">
        <v>0.05</v>
      </c>
      <c r="P24">
        <v>0.05</v>
      </c>
      <c r="R24">
        <v>0.31</v>
      </c>
      <c r="S24">
        <v>0.02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">
      <c r="A25" s="1" t="s">
        <v>37</v>
      </c>
      <c r="B25" s="3" t="s">
        <v>53</v>
      </c>
      <c r="D25">
        <f t="shared" si="0"/>
        <v>5</v>
      </c>
      <c r="E25">
        <f t="shared" si="1"/>
        <v>4617</v>
      </c>
      <c r="F25">
        <v>24</v>
      </c>
      <c r="G25">
        <v>24</v>
      </c>
      <c r="K25">
        <v>0.25</v>
      </c>
      <c r="L25">
        <v>0.71</v>
      </c>
      <c r="M25">
        <v>0.02</v>
      </c>
      <c r="N25">
        <v>0.09</v>
      </c>
      <c r="O25">
        <v>0.13</v>
      </c>
      <c r="P25">
        <v>0.03</v>
      </c>
      <c r="Q25">
        <v>0.01</v>
      </c>
      <c r="R25">
        <v>0.03</v>
      </c>
      <c r="S25">
        <v>0.05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">
      <c r="A26" s="1" t="s">
        <v>38</v>
      </c>
      <c r="B26" s="3" t="s">
        <v>30</v>
      </c>
      <c r="D26">
        <f t="shared" si="0"/>
        <v>5</v>
      </c>
      <c r="E26">
        <f t="shared" si="1"/>
        <v>4617</v>
      </c>
      <c r="F26">
        <v>25</v>
      </c>
      <c r="G26">
        <v>25</v>
      </c>
      <c r="K26">
        <v>0.27</v>
      </c>
      <c r="L26">
        <v>0.23</v>
      </c>
      <c r="N26">
        <v>0.13</v>
      </c>
      <c r="O26">
        <v>0.01</v>
      </c>
      <c r="Q26">
        <v>0.34</v>
      </c>
      <c r="R26">
        <v>0.23</v>
      </c>
      <c r="S26">
        <v>0.39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">
      <c r="A27" s="1" t="s">
        <v>12</v>
      </c>
      <c r="B27" s="3" t="s">
        <v>57</v>
      </c>
      <c r="D27">
        <f t="shared" si="0"/>
        <v>5</v>
      </c>
      <c r="E27">
        <f t="shared" si="1"/>
        <v>4617</v>
      </c>
      <c r="F27">
        <v>26</v>
      </c>
      <c r="G27">
        <v>26</v>
      </c>
      <c r="H27">
        <v>0.11</v>
      </c>
      <c r="K27">
        <v>0.26</v>
      </c>
      <c r="L27">
        <v>7.0000000000000007E-2</v>
      </c>
      <c r="M27">
        <v>0.5</v>
      </c>
      <c r="O27">
        <v>0.01</v>
      </c>
      <c r="Q27">
        <v>0.06</v>
      </c>
      <c r="R27">
        <v>1.76</v>
      </c>
      <c r="S27">
        <v>0.49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">
      <c r="A28" s="1" t="s">
        <v>39</v>
      </c>
      <c r="B28" s="3">
        <v>49.63</v>
      </c>
      <c r="D28">
        <f t="shared" si="0"/>
        <v>5</v>
      </c>
      <c r="E28">
        <f t="shared" si="1"/>
        <v>4617</v>
      </c>
      <c r="F28">
        <v>27</v>
      </c>
      <c r="G28">
        <v>27</v>
      </c>
      <c r="I28">
        <v>0.03</v>
      </c>
      <c r="K28">
        <v>0.57999999999999996</v>
      </c>
      <c r="L28">
        <v>0.02</v>
      </c>
      <c r="M28">
        <v>0.06</v>
      </c>
      <c r="N28">
        <v>0.47</v>
      </c>
      <c r="O28">
        <v>0.17</v>
      </c>
      <c r="Q28">
        <v>0.31</v>
      </c>
      <c r="R28">
        <v>0.16</v>
      </c>
      <c r="S28">
        <v>0.01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">
      <c r="A29" s="1" t="s">
        <v>40</v>
      </c>
      <c r="B29" s="3">
        <v>236</v>
      </c>
      <c r="D29">
        <f t="shared" si="0"/>
        <v>5</v>
      </c>
      <c r="E29">
        <f t="shared" si="1"/>
        <v>4617</v>
      </c>
      <c r="F29">
        <v>28</v>
      </c>
      <c r="G29">
        <v>28</v>
      </c>
      <c r="K29">
        <v>0.28999999999999998</v>
      </c>
      <c r="M29">
        <v>0.09</v>
      </c>
      <c r="N29">
        <v>0.21</v>
      </c>
      <c r="O29">
        <v>0.48</v>
      </c>
      <c r="P29">
        <v>0.52</v>
      </c>
      <c r="Q29">
        <v>7.0000000000000007E-2</v>
      </c>
      <c r="R29">
        <v>0.3</v>
      </c>
      <c r="S29">
        <v>0.02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">
      <c r="A30" s="1" t="s">
        <v>41</v>
      </c>
      <c r="B30" s="3">
        <v>186</v>
      </c>
      <c r="D30">
        <f t="shared" si="0"/>
        <v>5</v>
      </c>
      <c r="E30">
        <f t="shared" si="1"/>
        <v>4617</v>
      </c>
      <c r="F30">
        <v>29</v>
      </c>
      <c r="G30">
        <v>29</v>
      </c>
      <c r="K30">
        <v>0.68</v>
      </c>
      <c r="L30">
        <v>0.02</v>
      </c>
      <c r="M30">
        <v>0.03</v>
      </c>
      <c r="N30">
        <v>0.01</v>
      </c>
      <c r="O30">
        <v>0.09</v>
      </c>
      <c r="P30">
        <v>1.19</v>
      </c>
      <c r="Q30">
        <v>7.0000000000000007E-2</v>
      </c>
      <c r="R30">
        <v>0.48</v>
      </c>
      <c r="S30">
        <v>0.67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">
      <c r="A31" s="1" t="s">
        <v>42</v>
      </c>
      <c r="B31" s="3" t="s">
        <v>54</v>
      </c>
      <c r="D31">
        <f t="shared" si="0"/>
        <v>5</v>
      </c>
      <c r="E31">
        <f t="shared" si="1"/>
        <v>4617</v>
      </c>
      <c r="F31">
        <v>30</v>
      </c>
      <c r="G31">
        <v>30</v>
      </c>
      <c r="K31">
        <v>0.1</v>
      </c>
      <c r="L31">
        <v>7.0000000000000007E-2</v>
      </c>
      <c r="N31">
        <v>0.03</v>
      </c>
      <c r="O31">
        <v>0.06</v>
      </c>
      <c r="Q31">
        <v>0.01</v>
      </c>
      <c r="R31">
        <v>0.02</v>
      </c>
      <c r="S31">
        <v>0.17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">
      <c r="A32" s="1" t="s">
        <v>43</v>
      </c>
      <c r="B32" s="3" t="s">
        <v>55</v>
      </c>
      <c r="D32">
        <f t="shared" si="0"/>
        <v>5</v>
      </c>
      <c r="E32">
        <f t="shared" si="1"/>
        <v>4617</v>
      </c>
      <c r="F32">
        <v>31</v>
      </c>
      <c r="G32">
        <v>31</v>
      </c>
      <c r="H32">
        <v>0.05</v>
      </c>
      <c r="J32">
        <v>0.88</v>
      </c>
      <c r="N32">
        <v>0.13</v>
      </c>
      <c r="O32">
        <v>0.03</v>
      </c>
      <c r="Q32">
        <v>0.17</v>
      </c>
      <c r="S32">
        <v>0.45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">
      <c r="A33" s="1" t="s">
        <v>44</v>
      </c>
      <c r="B33" s="3" t="s">
        <v>30</v>
      </c>
    </row>
    <row r="34" spans="1:2" x14ac:dyDescent="0.2">
      <c r="A34" s="1" t="s">
        <v>45</v>
      </c>
      <c r="B34" s="3" t="s">
        <v>30</v>
      </c>
    </row>
    <row r="35" spans="1:2" x14ac:dyDescent="0.2">
      <c r="A35" s="1" t="s">
        <v>47</v>
      </c>
      <c r="B35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Tek, Maxence</cp:lastModifiedBy>
  <dcterms:created xsi:type="dcterms:W3CDTF">2016-09-30T11:06:39Z</dcterms:created>
  <dcterms:modified xsi:type="dcterms:W3CDTF">2018-03-16T13:47:44Z</dcterms:modified>
</cp:coreProperties>
</file>