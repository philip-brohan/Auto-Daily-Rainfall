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angoh/Documents/University/School/STAT1006/THA/Individual/Submission/"/>
    </mc:Choice>
  </mc:AlternateContent>
  <xr:revisionPtr revIDLastSave="0" documentId="13_ncr:1_{5A431296-8A6A-8246-8760-02B566AC6E53}" xr6:coauthVersionLast="31" xr6:coauthVersionMax="31" xr10:uidLastSave="{00000000-0000-0000-0000-000000000000}"/>
  <bookViews>
    <workbookView xWindow="7560" yWindow="440" windowWidth="16900" windowHeight="17560" xr2:uid="{00000000-000D-0000-FFFF-FFFF00000000}"/>
  </bookViews>
  <sheets>
    <sheet name="Form 5 template" sheetId="1" r:id="rId1"/>
  </sheets>
  <calcPr calcId="179017"/>
</workbook>
</file>

<file path=xl/calcChain.xml><?xml version="1.0" encoding="utf-8"?>
<calcChain xmlns="http://schemas.openxmlformats.org/spreadsheetml/2006/main">
  <c r="B30" i="1" l="1"/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<sst xmlns="http://schemas.openxmlformats.org/spreadsheetml/2006/main" count="141" uniqueCount="56">
  <si>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</si>
  <si>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</si>
  <si>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</si>
  <si>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</si>
  <si>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</si>
  <si>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</si>
  <si>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</si>
  <si>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</si>
  <si>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</si>
  <si>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</si>
  <si>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</si>
  <si>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</si>
  <si>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</si>
  <si>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</si>
  <si>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</si>
  <si>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</si>
  <si>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</si>
  <si>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</si>
  <si>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</si>
  <si>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</si>
  <si>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</si>
  <si>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</si>
  <si>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</si>
  <si>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</si>
  <si>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</si>
  <si>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</si>
  <si>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</si>
  <si>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</si>
  <si>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</si>
  <si>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</si>
  <si>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</si>
  <si>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</si>
  <si>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</si>
  <si>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</si>
  <si>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</si>
  <si>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</si>
  <si>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</si>
  <si>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</si>
  <si>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</si>
  <si>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</si>
  <si>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</si>
  <si>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</si>
  <si>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</si>
  <si>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</si>
  <si>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</si>
  <si>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</si>
  <si>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</si>
  <si>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</si>
  <si>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</si>
  <si>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Good quality</t>
  </si>
  <si>
    <t>Wexford</t>
  </si>
  <si>
    <t>5inch</t>
  </si>
  <si>
    <t>Gorey (Ram's gate)</t>
  </si>
  <si>
    <t>A. C. L. Ellis</t>
  </si>
  <si>
    <t>Gorey (Ram's Gate)</t>
  </si>
  <si>
    <t>170ft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</si>
</sst>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Fill="1" applyBorder="1" applyAlignment="1">
      <alignment horizontal="center"/>
    </xf>
    <xf numFmtId="0" fontId="17" fillId="0" borderId="0" xfId="0" applyFont="1" applyBorder="1"/>
    <xf numFmtId="0" fontId="0" fillId="0" borderId="0" xfId="0" applyFill="1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33" borderId="0" xfId="0" applyFill="1" applyBorder="1"/>
    <xf numFmtId="2" fontId="0" fillId="0" borderId="0" xfId="0" applyNumberFormat="1" applyBorder="1" applyAlignment="1">
      <alignment horizontal="center"/>
    </xf>
    <xf numFmtId="0" fontId="0" fillId="0" borderId="0" xfId="0" applyFont="1" applyFill="1" applyBorder="1" applyAlignment="1">
      <alignment horizontal="right"/>
    </xf>
    <xf numFmtId="2" fontId="0" fillId="0" borderId="0" xfId="0" applyNumberFormat="1" applyFill="1" applyBorder="1" applyAlignment="1">
      <alignment horizontal="center"/>
    </xf>
    <xf numFmtId="0" fontId="1" fillId="0" borderId="0" xfId="42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11545</xdr:colOff>
      <xdr:row>16</xdr:row>
      <xdr:rowOff>69273</xdr:rowOff>
    </xdr:from>
    <xdr:to>
      <xdr:col>7</xdr:col>
      <xdr:colOff>230908</xdr:colOff>
      <xdr:row>22</xdr:row>
      <xdr:rowOff>150092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43925C19-EB5A-9649-B0E7-DC02B4D4DBC1}"/>
            </a:ext>
          </a:extLst>
        </xdr:cNvPr>
        <xdr:cNvSpPr/>
      </xdr:nvSpPr>
      <xdr:spPr>
        <a:xfrm>
          <a:off x="6765636" y="3221182"/>
          <a:ext cx="219363" cy="1258455"/>
        </a:xfrm>
        <a:prstGeom prst="rightBrac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508000</xdr:colOff>
      <xdr:row>15</xdr:row>
      <xdr:rowOff>69274</xdr:rowOff>
    </xdr:from>
    <xdr:to>
      <xdr:col>8</xdr:col>
      <xdr:colOff>648853</xdr:colOff>
      <xdr:row>17</xdr:row>
      <xdr:rowOff>163947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24B4F7B8-8C74-3248-9E09-3D0758BC080D}"/>
            </a:ext>
          </a:extLst>
        </xdr:cNvPr>
        <xdr:cNvSpPr/>
      </xdr:nvSpPr>
      <xdr:spPr>
        <a:xfrm>
          <a:off x="7931727" y="3024910"/>
          <a:ext cx="140853" cy="487219"/>
        </a:xfrm>
        <a:prstGeom prst="rightBrac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519545</xdr:colOff>
      <xdr:row>10</xdr:row>
      <xdr:rowOff>57728</xdr:rowOff>
    </xdr:from>
    <xdr:to>
      <xdr:col>12</xdr:col>
      <xdr:colOff>651162</xdr:colOff>
      <xdr:row>11</xdr:row>
      <xdr:rowOff>166257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ED7D3A60-143F-744A-8C28-543E727550E1}"/>
            </a:ext>
          </a:extLst>
        </xdr:cNvPr>
        <xdr:cNvSpPr/>
      </xdr:nvSpPr>
      <xdr:spPr>
        <a:xfrm>
          <a:off x="10621818" y="2020455"/>
          <a:ext cx="131617" cy="304802"/>
        </a:xfrm>
        <a:prstGeom prst="rightBrac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"/>
  <sheetViews>
    <sheetView tabSelected="1" zoomScale="110" zoomScaleNormal="110" workbookViewId="0">
      <selection activeCell="B25" sqref="B25"/>
    </sheetView>
  </sheetViews>
  <sheetFormatPr baseColWidth="10" defaultColWidth="8.83203125" defaultRowHeight="15" x14ac:dyDescent="0.2"/>
  <cols>
    <col min="1" max="1" width="22.6640625" style="4" customWidth="1"/>
    <col min="2" max="2" width="15.5" style="3" bestFit="1" customWidth="1"/>
    <col min="3" max="4" width="8.83203125" style="4"/>
    <col min="5" max="5" width="12.83203125" style="4" bestFit="1" customWidth="1"/>
    <col min="6" max="6" width="11.1640625" style="4" bestFit="1" customWidth="1"/>
    <col min="7" max="21" width="8.83203125" style="4"/>
    <col min="22" max="23" width="9.1640625" style="4" bestFit="1" customWidth="1"/>
    <col min="24" max="16384" width="8.83203125" style="4"/>
  </cols>
  <sheetData>
    <row r="1" spans="1:25" x14ac:dyDescent="0.2">
      <c r="A1" s="2" t="s">
        <v>0</v>
      </c>
      <c r="B1" s="3">
        <v>5</v>
      </c>
      <c r="D1" s="2" t="s">
        <v>0</v>
      </c>
      <c r="E1" s="2" t="s">
        <v>13</v>
      </c>
      <c r="F1" s="2" t="s">
        <v>14</v>
      </c>
      <c r="G1" s="2" t="s">
        <v>10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9</v>
      </c>
      <c r="U1" s="2" t="s">
        <v>27</v>
      </c>
      <c r="V1" s="2" t="s">
        <v>28</v>
      </c>
      <c r="W1" s="2" t="s">
        <v>29</v>
      </c>
      <c r="Y1" s="2" t="s">
        <v>46</v>
      </c>
    </row>
    <row r="2" spans="1:25" x14ac:dyDescent="0.2">
      <c r="A2" s="2" t="s">
        <v>1</v>
      </c>
      <c r="B2" s="3">
        <v>4689</v>
      </c>
      <c r="D2" s="4">
        <f>($B$1)</f>
        <v>5</v>
      </c>
      <c r="E2" s="4">
        <f>($B$2)</f>
        <v>4689</v>
      </c>
      <c r="F2" s="4">
        <v>1</v>
      </c>
      <c r="G2" s="4">
        <v>1</v>
      </c>
      <c r="H2" s="1"/>
      <c r="I2" s="5"/>
      <c r="J2" s="5"/>
      <c r="K2" s="5"/>
      <c r="L2" s="5"/>
      <c r="M2" s="5"/>
      <c r="N2" s="5"/>
      <c r="O2" s="5"/>
      <c r="P2" s="5"/>
      <c r="Q2" s="5"/>
      <c r="R2" s="5">
        <v>0.18</v>
      </c>
      <c r="S2" s="5">
        <v>0.03</v>
      </c>
      <c r="T2" s="4">
        <v>1</v>
      </c>
      <c r="U2" s="1">
        <v>4.62</v>
      </c>
      <c r="V2" s="1">
        <v>14</v>
      </c>
      <c r="W2" s="1">
        <v>11</v>
      </c>
      <c r="Y2" s="6">
        <f>SUM(H2:H32)</f>
        <v>4.62</v>
      </c>
    </row>
    <row r="3" spans="1:25" x14ac:dyDescent="0.2">
      <c r="A3" s="2" t="s">
        <v>2</v>
      </c>
      <c r="B3" s="3" t="s">
        <v>54</v>
      </c>
      <c r="D3" s="4">
        <f t="shared" ref="D3:D32" si="0">($B$1)</f>
        <v>5</v>
      </c>
      <c r="E3" s="4">
        <f t="shared" ref="E3:E32" si="1">($B$2)</f>
        <v>4689</v>
      </c>
      <c r="F3" s="4">
        <v>2</v>
      </c>
      <c r="G3" s="4">
        <v>2</v>
      </c>
      <c r="H3" s="1"/>
      <c r="I3" s="5">
        <v>0.13</v>
      </c>
      <c r="J3" s="5"/>
      <c r="K3" s="7">
        <v>0.3</v>
      </c>
      <c r="L3" s="5"/>
      <c r="M3" s="5"/>
      <c r="N3" s="5">
        <v>7.0000000000000007E-2</v>
      </c>
      <c r="O3" s="5"/>
      <c r="P3" s="5"/>
      <c r="Q3" s="5"/>
      <c r="R3" s="5">
        <v>0.82</v>
      </c>
      <c r="S3" s="5">
        <v>0.21</v>
      </c>
      <c r="T3" s="4">
        <v>2</v>
      </c>
      <c r="U3" s="1">
        <v>4.8099999999999996</v>
      </c>
      <c r="V3" s="1">
        <v>16</v>
      </c>
      <c r="W3" s="5">
        <v>14</v>
      </c>
      <c r="Y3" s="6">
        <f>SUM(I:I)</f>
        <v>4.8099999999999987</v>
      </c>
    </row>
    <row r="4" spans="1:25" x14ac:dyDescent="0.2">
      <c r="A4" s="2" t="s">
        <v>3</v>
      </c>
      <c r="B4" s="3">
        <v>6070</v>
      </c>
      <c r="D4" s="4">
        <f t="shared" si="0"/>
        <v>5</v>
      </c>
      <c r="E4" s="4">
        <f t="shared" si="1"/>
        <v>4689</v>
      </c>
      <c r="F4" s="4">
        <v>3</v>
      </c>
      <c r="G4" s="4">
        <v>3</v>
      </c>
      <c r="I4" s="1">
        <v>0.73</v>
      </c>
      <c r="J4" s="5"/>
      <c r="K4" s="5"/>
      <c r="L4" s="5"/>
      <c r="M4" s="5"/>
      <c r="N4" s="5"/>
      <c r="O4" s="5"/>
      <c r="P4" s="5"/>
      <c r="Q4" s="5">
        <v>0.01</v>
      </c>
      <c r="R4" s="5">
        <v>0.14000000000000001</v>
      </c>
      <c r="S4" s="5">
        <v>0.11</v>
      </c>
      <c r="T4" s="4">
        <v>3</v>
      </c>
      <c r="U4" s="1">
        <v>2.17</v>
      </c>
      <c r="V4" s="1">
        <v>17</v>
      </c>
      <c r="W4" s="1">
        <v>14</v>
      </c>
      <c r="Y4" s="6">
        <f>SUM(J:J)</f>
        <v>2.17</v>
      </c>
    </row>
    <row r="5" spans="1:25" x14ac:dyDescent="0.2">
      <c r="A5" s="2" t="s">
        <v>4</v>
      </c>
      <c r="D5" s="4">
        <f t="shared" si="0"/>
        <v>5</v>
      </c>
      <c r="E5" s="4">
        <f t="shared" si="1"/>
        <v>4689</v>
      </c>
      <c r="F5" s="4">
        <v>4</v>
      </c>
      <c r="G5" s="4">
        <v>4</v>
      </c>
      <c r="H5" s="1">
        <v>0.01</v>
      </c>
      <c r="I5" s="1"/>
      <c r="J5" s="5"/>
      <c r="K5" s="5"/>
      <c r="L5" s="5"/>
      <c r="M5" s="5"/>
      <c r="N5" s="5">
        <v>0.06</v>
      </c>
      <c r="O5" s="5">
        <v>0.02</v>
      </c>
      <c r="P5" s="5"/>
      <c r="Q5" s="5">
        <v>0.05</v>
      </c>
      <c r="R5" s="5">
        <v>0.48</v>
      </c>
      <c r="S5" s="5"/>
      <c r="T5" s="4">
        <v>4</v>
      </c>
      <c r="U5" s="1">
        <v>3.73</v>
      </c>
      <c r="V5" s="1">
        <v>17</v>
      </c>
      <c r="W5" s="1">
        <v>12</v>
      </c>
      <c r="Y5" s="6">
        <f>SUM(K:K)</f>
        <v>3.7299999999999995</v>
      </c>
    </row>
    <row r="6" spans="1:25" x14ac:dyDescent="0.2">
      <c r="A6" s="2" t="s">
        <v>5</v>
      </c>
      <c r="D6" s="4">
        <f t="shared" si="0"/>
        <v>5</v>
      </c>
      <c r="E6" s="4">
        <f t="shared" si="1"/>
        <v>4689</v>
      </c>
      <c r="F6" s="4">
        <v>5</v>
      </c>
      <c r="G6" s="4">
        <v>5</v>
      </c>
      <c r="H6" s="1"/>
      <c r="I6" s="1"/>
      <c r="J6" s="5"/>
      <c r="K6" s="5">
        <v>0.13</v>
      </c>
      <c r="L6" s="5">
        <v>0.09</v>
      </c>
      <c r="M6" s="5"/>
      <c r="N6" s="5">
        <v>0.02</v>
      </c>
      <c r="O6" s="5"/>
      <c r="P6" s="5"/>
      <c r="Q6" s="5">
        <v>0.43</v>
      </c>
      <c r="R6" s="5">
        <v>0.73</v>
      </c>
      <c r="S6" s="5">
        <v>0.13</v>
      </c>
      <c r="T6" s="4">
        <v>5</v>
      </c>
      <c r="U6" s="1">
        <v>0.67</v>
      </c>
      <c r="V6" s="1">
        <v>7</v>
      </c>
      <c r="W6" s="1">
        <v>6</v>
      </c>
      <c r="Y6" s="6">
        <f>SUM(L:L)</f>
        <v>0.67</v>
      </c>
    </row>
    <row r="7" spans="1:25" x14ac:dyDescent="0.2">
      <c r="A7" s="2" t="s">
        <v>6</v>
      </c>
      <c r="D7" s="4">
        <f t="shared" si="0"/>
        <v>5</v>
      </c>
      <c r="E7" s="4">
        <f t="shared" si="1"/>
        <v>4689</v>
      </c>
      <c r="F7" s="4">
        <v>6</v>
      </c>
      <c r="G7" s="4">
        <v>6</v>
      </c>
      <c r="H7" s="1">
        <v>0.33</v>
      </c>
      <c r="I7" s="1">
        <v>0.56999999999999995</v>
      </c>
      <c r="J7" s="5"/>
      <c r="K7" s="5">
        <v>0.15</v>
      </c>
      <c r="L7" s="5"/>
      <c r="M7" s="5"/>
      <c r="N7" s="5">
        <v>7.0000000000000007E-2</v>
      </c>
      <c r="O7" s="5"/>
      <c r="P7" s="5"/>
      <c r="Q7" s="7">
        <v>0.7</v>
      </c>
      <c r="R7" s="5">
        <v>0.01</v>
      </c>
      <c r="S7" s="5">
        <v>0.23</v>
      </c>
      <c r="T7" s="4">
        <v>6</v>
      </c>
      <c r="U7" s="1">
        <v>1.1100000000000001</v>
      </c>
      <c r="V7" s="1">
        <v>7</v>
      </c>
      <c r="W7" s="1">
        <v>7</v>
      </c>
      <c r="Y7" s="6">
        <f>SUM(M:M)</f>
        <v>1.1099999999999999</v>
      </c>
    </row>
    <row r="8" spans="1:25" x14ac:dyDescent="0.2">
      <c r="A8" s="2" t="s">
        <v>7</v>
      </c>
      <c r="D8" s="4">
        <f t="shared" si="0"/>
        <v>5</v>
      </c>
      <c r="E8" s="4">
        <f t="shared" si="1"/>
        <v>4689</v>
      </c>
      <c r="F8" s="4">
        <v>7</v>
      </c>
      <c r="G8" s="4">
        <v>7</v>
      </c>
      <c r="H8" s="1">
        <v>0.04</v>
      </c>
      <c r="I8" s="1"/>
      <c r="J8" s="5"/>
      <c r="K8" s="5"/>
      <c r="L8" s="1"/>
      <c r="M8" s="1"/>
      <c r="N8" s="9">
        <v>0.11</v>
      </c>
      <c r="O8" s="1"/>
      <c r="P8" s="1">
        <v>0.02</v>
      </c>
      <c r="Q8" s="1">
        <v>0.08</v>
      </c>
      <c r="S8" s="5"/>
      <c r="T8" s="4">
        <v>7</v>
      </c>
      <c r="U8" s="1">
        <v>2.97</v>
      </c>
      <c r="V8" s="1">
        <v>20</v>
      </c>
      <c r="W8" s="1">
        <v>16</v>
      </c>
      <c r="Y8" s="6">
        <f>SUM(N:N)</f>
        <v>2.97</v>
      </c>
    </row>
    <row r="9" spans="1:25" x14ac:dyDescent="0.2">
      <c r="A9" s="2" t="s">
        <v>8</v>
      </c>
      <c r="B9" s="3">
        <v>1940</v>
      </c>
      <c r="D9" s="4">
        <f t="shared" si="0"/>
        <v>5</v>
      </c>
      <c r="E9" s="4">
        <f t="shared" si="1"/>
        <v>4689</v>
      </c>
      <c r="F9" s="4">
        <v>8</v>
      </c>
      <c r="G9" s="4">
        <v>8</v>
      </c>
      <c r="H9" s="1"/>
      <c r="I9" s="1">
        <v>0.12</v>
      </c>
      <c r="J9" s="5"/>
      <c r="K9" s="5"/>
      <c r="L9" s="1"/>
      <c r="M9" s="1"/>
      <c r="N9" s="9">
        <v>0.1</v>
      </c>
      <c r="O9" s="1"/>
      <c r="P9" s="1"/>
      <c r="Q9" s="1">
        <v>1.1599999999999999</v>
      </c>
      <c r="R9" s="5">
        <v>0.65</v>
      </c>
      <c r="S9" s="5">
        <v>0.15</v>
      </c>
      <c r="T9" s="4">
        <v>8</v>
      </c>
      <c r="U9" s="1">
        <v>0.14000000000000001</v>
      </c>
      <c r="V9" s="1">
        <v>3</v>
      </c>
      <c r="W9" s="1">
        <v>1</v>
      </c>
      <c r="Y9" s="6">
        <f>SUM(O:O)</f>
        <v>0.14000000000000001</v>
      </c>
    </row>
    <row r="10" spans="1:25" x14ac:dyDescent="0.2">
      <c r="A10" s="2" t="s">
        <v>9</v>
      </c>
      <c r="B10" s="3">
        <v>1</v>
      </c>
      <c r="D10" s="4">
        <f t="shared" si="0"/>
        <v>5</v>
      </c>
      <c r="E10" s="4">
        <f t="shared" si="1"/>
        <v>4689</v>
      </c>
      <c r="F10" s="4">
        <v>9</v>
      </c>
      <c r="G10" s="4">
        <v>9</v>
      </c>
      <c r="H10" s="1"/>
      <c r="I10" s="1"/>
      <c r="J10" s="5">
        <v>7.0000000000000007E-2</v>
      </c>
      <c r="K10" s="5"/>
      <c r="L10" s="1"/>
      <c r="M10" s="1"/>
      <c r="N10" s="1">
        <v>0.14000000000000001</v>
      </c>
      <c r="O10" s="1"/>
      <c r="P10" s="1">
        <v>0.03</v>
      </c>
      <c r="Q10" s="1">
        <v>0.79</v>
      </c>
      <c r="R10" s="1">
        <v>0.02</v>
      </c>
      <c r="S10" s="5">
        <v>0.24</v>
      </c>
      <c r="T10" s="4">
        <v>9</v>
      </c>
      <c r="U10" s="1">
        <v>1.62</v>
      </c>
      <c r="V10" s="1">
        <v>12</v>
      </c>
      <c r="W10" s="1">
        <v>8</v>
      </c>
      <c r="Y10" s="6">
        <f>SUM(P:P)</f>
        <v>1.6200000000000003</v>
      </c>
    </row>
    <row r="11" spans="1:25" x14ac:dyDescent="0.2">
      <c r="A11" s="2" t="s">
        <v>10</v>
      </c>
      <c r="B11" s="3">
        <v>1</v>
      </c>
      <c r="D11" s="4">
        <f t="shared" si="0"/>
        <v>5</v>
      </c>
      <c r="E11" s="4">
        <f t="shared" si="1"/>
        <v>4689</v>
      </c>
      <c r="F11" s="4">
        <v>10</v>
      </c>
      <c r="G11" s="4">
        <v>10</v>
      </c>
      <c r="H11" s="1"/>
      <c r="I11" s="1">
        <v>0.11</v>
      </c>
      <c r="J11" s="5">
        <v>0.01</v>
      </c>
      <c r="K11" s="5"/>
      <c r="L11" s="1"/>
      <c r="M11" s="1"/>
      <c r="N11" s="1">
        <v>0.04</v>
      </c>
      <c r="O11" s="9">
        <v>0.1</v>
      </c>
      <c r="P11" s="1"/>
      <c r="Q11" s="1"/>
      <c r="R11" s="1">
        <v>0.03</v>
      </c>
      <c r="S11" s="5">
        <v>0.09</v>
      </c>
      <c r="T11" s="4">
        <v>10</v>
      </c>
      <c r="U11" s="1">
        <v>7.82</v>
      </c>
      <c r="V11" s="1">
        <v>21</v>
      </c>
      <c r="W11" s="1">
        <v>17</v>
      </c>
      <c r="Y11" s="6">
        <f>SUM(Q:Q)</f>
        <v>7.8199999999999994</v>
      </c>
    </row>
    <row r="12" spans="1:25" x14ac:dyDescent="0.2">
      <c r="A12" s="2" t="s">
        <v>11</v>
      </c>
      <c r="B12" s="3" t="s">
        <v>48</v>
      </c>
      <c r="D12" s="4">
        <f t="shared" si="0"/>
        <v>5</v>
      </c>
      <c r="E12" s="4">
        <f t="shared" si="1"/>
        <v>4689</v>
      </c>
      <c r="F12" s="4">
        <v>11</v>
      </c>
      <c r="G12" s="4">
        <v>11</v>
      </c>
      <c r="H12" s="1"/>
      <c r="I12" s="1">
        <v>0.05</v>
      </c>
      <c r="J12" s="5">
        <v>0.15</v>
      </c>
      <c r="K12" s="5">
        <v>0.02</v>
      </c>
      <c r="L12" s="1"/>
      <c r="M12" s="1">
        <v>0.41</v>
      </c>
      <c r="N12" s="9">
        <v>0.5</v>
      </c>
      <c r="O12" s="1"/>
      <c r="P12" s="1"/>
      <c r="Q12" s="1">
        <v>0.02</v>
      </c>
      <c r="R12" s="5">
        <v>0.61</v>
      </c>
      <c r="S12" s="5">
        <v>0.03</v>
      </c>
      <c r="T12" s="4">
        <v>11</v>
      </c>
      <c r="U12" s="1">
        <v>5.83</v>
      </c>
      <c r="V12" s="1">
        <v>18</v>
      </c>
      <c r="W12" s="1">
        <v>13</v>
      </c>
      <c r="Y12" s="6">
        <f>SUM(R:R)</f>
        <v>5.8299999999999992</v>
      </c>
    </row>
    <row r="13" spans="1:25" ht="16" x14ac:dyDescent="0.2">
      <c r="A13" s="2" t="s">
        <v>12</v>
      </c>
      <c r="B13" s="3" t="s">
        <v>49</v>
      </c>
      <c r="D13" s="4">
        <f t="shared" si="0"/>
        <v>5</v>
      </c>
      <c r="E13" s="4">
        <f t="shared" si="1"/>
        <v>4689</v>
      </c>
      <c r="F13" s="4">
        <v>12</v>
      </c>
      <c r="G13" s="4">
        <v>12</v>
      </c>
      <c r="H13" s="1"/>
      <c r="I13" s="1"/>
      <c r="J13" s="5">
        <v>0.33</v>
      </c>
      <c r="K13" s="5"/>
      <c r="L13" s="1"/>
      <c r="M13" s="1"/>
      <c r="N13" s="1">
        <v>0.28000000000000003</v>
      </c>
      <c r="O13" s="10"/>
      <c r="P13" s="1">
        <v>0.15</v>
      </c>
      <c r="Q13" s="1"/>
      <c r="R13" s="5"/>
      <c r="S13" s="5">
        <v>0.06</v>
      </c>
      <c r="T13" s="4">
        <v>12</v>
      </c>
      <c r="U13" s="1">
        <v>3.08</v>
      </c>
      <c r="V13" s="1">
        <v>20</v>
      </c>
      <c r="W13" s="1">
        <v>15</v>
      </c>
      <c r="Y13" s="6">
        <f>SUM(S:S)</f>
        <v>3.08</v>
      </c>
    </row>
    <row r="14" spans="1:25" x14ac:dyDescent="0.2">
      <c r="D14" s="4">
        <f t="shared" si="0"/>
        <v>5</v>
      </c>
      <c r="E14" s="4">
        <f t="shared" si="1"/>
        <v>4689</v>
      </c>
      <c r="F14" s="4">
        <v>13</v>
      </c>
      <c r="G14" s="4">
        <v>13</v>
      </c>
      <c r="H14" s="1"/>
      <c r="I14" s="1"/>
      <c r="J14" s="5"/>
      <c r="K14" s="5">
        <v>0.01</v>
      </c>
      <c r="L14" s="1"/>
      <c r="M14" s="1"/>
      <c r="N14" s="1"/>
      <c r="O14" s="1"/>
      <c r="P14" s="1"/>
      <c r="Q14" s="9">
        <v>0.1</v>
      </c>
      <c r="R14" s="5"/>
      <c r="S14" s="5">
        <v>1.06</v>
      </c>
      <c r="T14" s="4" t="s">
        <v>30</v>
      </c>
      <c r="U14" s="4" t="s">
        <v>30</v>
      </c>
      <c r="V14" s="4" t="s">
        <v>30</v>
      </c>
      <c r="W14" s="4" t="s">
        <v>30</v>
      </c>
    </row>
    <row r="15" spans="1:25" s="2" customFormat="1" x14ac:dyDescent="0.2">
      <c r="A15" s="2" t="s">
        <v>0</v>
      </c>
      <c r="B15" s="8">
        <v>5</v>
      </c>
      <c r="D15" s="4">
        <f t="shared" si="0"/>
        <v>5</v>
      </c>
      <c r="E15" s="4">
        <f t="shared" si="1"/>
        <v>4689</v>
      </c>
      <c r="F15" s="4">
        <v>14</v>
      </c>
      <c r="G15" s="4">
        <v>14</v>
      </c>
      <c r="H15" s="1"/>
      <c r="I15" s="1"/>
      <c r="J15" s="5"/>
      <c r="K15" s="5">
        <v>0.04</v>
      </c>
      <c r="L15" s="1"/>
      <c r="M15" s="1"/>
      <c r="N15" s="1">
        <v>0.03</v>
      </c>
      <c r="O15" s="1"/>
      <c r="P15" s="1"/>
      <c r="Q15" s="1">
        <v>0.82</v>
      </c>
      <c r="R15" s="5"/>
      <c r="S15" s="5">
        <v>0.08</v>
      </c>
      <c r="T15" s="4" t="s">
        <v>30</v>
      </c>
      <c r="U15" s="4" t="s">
        <v>30</v>
      </c>
      <c r="V15" s="4" t="s">
        <v>30</v>
      </c>
      <c r="W15" s="4" t="s">
        <v>30</v>
      </c>
    </row>
    <row r="16" spans="1:25" x14ac:dyDescent="0.2">
      <c r="A16" s="2" t="s">
        <v>13</v>
      </c>
      <c r="B16" s="3">
        <v>4689</v>
      </c>
      <c r="D16" s="4">
        <f t="shared" si="0"/>
        <v>5</v>
      </c>
      <c r="E16" s="4">
        <f t="shared" si="1"/>
        <v>4689</v>
      </c>
      <c r="F16" s="4">
        <v>15</v>
      </c>
      <c r="G16" s="4">
        <v>15</v>
      </c>
      <c r="H16" s="1"/>
      <c r="I16" s="1"/>
      <c r="J16" s="5"/>
      <c r="K16" s="5"/>
      <c r="L16" s="1">
        <v>0.03</v>
      </c>
      <c r="M16" s="1">
        <v>0.08</v>
      </c>
      <c r="N16" s="1">
        <v>0.01</v>
      </c>
      <c r="O16" s="1"/>
      <c r="P16" s="1">
        <v>0.53</v>
      </c>
      <c r="Q16" s="1">
        <v>0.21</v>
      </c>
      <c r="R16" s="5">
        <v>0.44</v>
      </c>
      <c r="S16" s="5">
        <v>0.02</v>
      </c>
      <c r="T16" s="4" t="s">
        <v>30</v>
      </c>
      <c r="U16" s="4" t="s">
        <v>30</v>
      </c>
      <c r="V16" s="4" t="s">
        <v>30</v>
      </c>
      <c r="W16" s="4" t="s">
        <v>30</v>
      </c>
    </row>
    <row r="17" spans="1:23" x14ac:dyDescent="0.2">
      <c r="A17" s="2" t="s">
        <v>14</v>
      </c>
      <c r="B17" s="3">
        <v>1</v>
      </c>
      <c r="D17" s="4">
        <f t="shared" si="0"/>
        <v>5</v>
      </c>
      <c r="E17" s="4">
        <f t="shared" si="1"/>
        <v>4689</v>
      </c>
      <c r="F17" s="4">
        <v>16</v>
      </c>
      <c r="G17" s="4">
        <v>16</v>
      </c>
      <c r="H17" s="1"/>
      <c r="I17" s="1">
        <v>1.58</v>
      </c>
      <c r="J17" s="7">
        <v>0.4</v>
      </c>
      <c r="K17" s="5"/>
      <c r="L17" s="1"/>
      <c r="M17" s="1"/>
      <c r="N17" s="1">
        <v>0.42</v>
      </c>
      <c r="O17" s="1"/>
      <c r="P17" s="1">
        <v>0.47</v>
      </c>
      <c r="Q17" s="1"/>
      <c r="R17" s="5">
        <v>0.02</v>
      </c>
      <c r="S17" s="5"/>
      <c r="T17" s="4" t="s">
        <v>30</v>
      </c>
      <c r="U17" s="4" t="s">
        <v>30</v>
      </c>
      <c r="V17" s="4" t="s">
        <v>30</v>
      </c>
      <c r="W17" s="4" t="s">
        <v>30</v>
      </c>
    </row>
    <row r="18" spans="1:23" x14ac:dyDescent="0.2">
      <c r="A18" s="2" t="s">
        <v>31</v>
      </c>
      <c r="B18" s="3">
        <v>6070</v>
      </c>
      <c r="D18" s="4">
        <f t="shared" si="0"/>
        <v>5</v>
      </c>
      <c r="E18" s="4">
        <f t="shared" si="1"/>
        <v>4689</v>
      </c>
      <c r="F18" s="4">
        <v>17</v>
      </c>
      <c r="G18" s="4">
        <v>17</v>
      </c>
      <c r="H18" s="1"/>
      <c r="I18" s="1">
        <v>0.23</v>
      </c>
      <c r="J18" s="5">
        <v>0.36</v>
      </c>
      <c r="K18" s="5">
        <v>0.02</v>
      </c>
      <c r="L18" s="1"/>
      <c r="M18" s="1"/>
      <c r="N18" s="1">
        <v>0.02</v>
      </c>
      <c r="O18" s="1"/>
      <c r="P18" s="1"/>
      <c r="Q18" s="1"/>
      <c r="R18" s="5">
        <v>0.11</v>
      </c>
      <c r="S18" s="5">
        <v>7.0000000000000007E-2</v>
      </c>
      <c r="T18" s="4" t="s">
        <v>30</v>
      </c>
      <c r="U18" s="4" t="s">
        <v>30</v>
      </c>
      <c r="V18" s="4" t="s">
        <v>30</v>
      </c>
      <c r="W18" s="4" t="s">
        <v>30</v>
      </c>
    </row>
    <row r="19" spans="1:23" x14ac:dyDescent="0.2">
      <c r="A19" s="2" t="s">
        <v>8</v>
      </c>
      <c r="B19" s="3">
        <v>1940</v>
      </c>
      <c r="D19" s="4">
        <f t="shared" si="0"/>
        <v>5</v>
      </c>
      <c r="E19" s="4">
        <f t="shared" si="1"/>
        <v>4689</v>
      </c>
      <c r="F19" s="4">
        <v>18</v>
      </c>
      <c r="G19" s="4">
        <v>18</v>
      </c>
      <c r="H19" s="1"/>
      <c r="I19" s="1">
        <v>0.35</v>
      </c>
      <c r="J19" s="5">
        <v>0.06</v>
      </c>
      <c r="K19" s="5"/>
      <c r="L19" s="1"/>
      <c r="M19" s="1"/>
      <c r="N19" s="1">
        <v>0.26</v>
      </c>
      <c r="O19" s="1"/>
      <c r="P19" s="9">
        <v>0.1</v>
      </c>
      <c r="Q19" s="1">
        <v>0.26</v>
      </c>
      <c r="R19" s="5"/>
      <c r="S19" s="7">
        <v>0.1</v>
      </c>
      <c r="T19" s="4" t="s">
        <v>30</v>
      </c>
      <c r="U19" s="4" t="s">
        <v>30</v>
      </c>
      <c r="V19" s="4" t="s">
        <v>30</v>
      </c>
      <c r="W19" s="4" t="s">
        <v>30</v>
      </c>
    </row>
    <row r="20" spans="1:23" x14ac:dyDescent="0.2">
      <c r="A20" s="2" t="s">
        <v>32</v>
      </c>
      <c r="B20" s="3" t="s">
        <v>52</v>
      </c>
      <c r="D20" s="4">
        <f t="shared" si="0"/>
        <v>5</v>
      </c>
      <c r="E20" s="4">
        <f t="shared" si="1"/>
        <v>4689</v>
      </c>
      <c r="F20" s="4">
        <v>19</v>
      </c>
      <c r="G20" s="4">
        <v>19</v>
      </c>
      <c r="H20" s="9">
        <v>0.3</v>
      </c>
      <c r="I20" s="1">
        <v>0.08</v>
      </c>
      <c r="J20" s="5">
        <v>0.09</v>
      </c>
      <c r="K20" s="5">
        <v>0.35</v>
      </c>
      <c r="L20" s="1"/>
      <c r="M20" s="1"/>
      <c r="N20" s="1">
        <v>0.25</v>
      </c>
      <c r="O20" s="1"/>
      <c r="P20" s="1">
        <v>0.09</v>
      </c>
      <c r="Q20" s="9">
        <v>1</v>
      </c>
      <c r="R20" s="5">
        <v>0.25</v>
      </c>
      <c r="S20" s="5"/>
      <c r="T20" s="4" t="s">
        <v>30</v>
      </c>
      <c r="U20" s="4" t="s">
        <v>30</v>
      </c>
      <c r="V20" s="4" t="s">
        <v>30</v>
      </c>
      <c r="W20" s="4" t="s">
        <v>30</v>
      </c>
    </row>
    <row r="21" spans="1:23" x14ac:dyDescent="0.2">
      <c r="A21" s="2" t="s">
        <v>33</v>
      </c>
      <c r="B21" s="3" t="s">
        <v>50</v>
      </c>
      <c r="D21" s="4">
        <f t="shared" si="0"/>
        <v>5</v>
      </c>
      <c r="E21" s="4">
        <f t="shared" si="1"/>
        <v>4689</v>
      </c>
      <c r="F21" s="4">
        <v>20</v>
      </c>
      <c r="G21" s="4">
        <v>20</v>
      </c>
      <c r="H21" s="1"/>
      <c r="I21" s="1"/>
      <c r="J21" s="5">
        <v>0.03</v>
      </c>
      <c r="K21" s="5">
        <v>0.76</v>
      </c>
      <c r="L21" s="1"/>
      <c r="M21" s="1"/>
      <c r="N21" s="9">
        <v>0.2</v>
      </c>
      <c r="O21" s="1"/>
      <c r="P21" s="1">
        <v>0.06</v>
      </c>
      <c r="Q21" s="1">
        <v>0.23</v>
      </c>
      <c r="R21" s="5">
        <v>0.12</v>
      </c>
      <c r="S21" s="5"/>
      <c r="T21" s="4" t="s">
        <v>30</v>
      </c>
      <c r="U21" s="4" t="s">
        <v>30</v>
      </c>
      <c r="V21" s="4" t="s">
        <v>30</v>
      </c>
      <c r="W21" s="4" t="s">
        <v>30</v>
      </c>
    </row>
    <row r="22" spans="1:23" x14ac:dyDescent="0.2">
      <c r="A22" s="2" t="s">
        <v>34</v>
      </c>
      <c r="B22" s="3" t="s">
        <v>51</v>
      </c>
      <c r="D22" s="4">
        <f t="shared" si="0"/>
        <v>5</v>
      </c>
      <c r="E22" s="4">
        <f t="shared" si="1"/>
        <v>4689</v>
      </c>
      <c r="F22" s="4">
        <v>21</v>
      </c>
      <c r="G22" s="4">
        <v>21</v>
      </c>
      <c r="H22" s="1"/>
      <c r="I22" s="1"/>
      <c r="J22" s="7">
        <v>0.1</v>
      </c>
      <c r="K22" s="7">
        <v>0.6</v>
      </c>
      <c r="L22" s="1">
        <v>0.06</v>
      </c>
      <c r="M22" s="9">
        <v>0.1</v>
      </c>
      <c r="N22" s="1"/>
      <c r="O22" s="1"/>
      <c r="P22" s="1">
        <v>0.04</v>
      </c>
      <c r="Q22" s="1">
        <v>7.0000000000000007E-2</v>
      </c>
      <c r="R22" s="5">
        <v>1.06</v>
      </c>
      <c r="S22" s="5"/>
      <c r="T22" s="4" t="s">
        <v>30</v>
      </c>
      <c r="U22" s="4" t="s">
        <v>30</v>
      </c>
      <c r="V22" s="4" t="s">
        <v>30</v>
      </c>
      <c r="W22" s="4" t="s">
        <v>30</v>
      </c>
    </row>
    <row r="23" spans="1:23" x14ac:dyDescent="0.2">
      <c r="A23" s="2" t="s">
        <v>35</v>
      </c>
      <c r="B23" s="3">
        <v>1</v>
      </c>
      <c r="D23" s="4">
        <f t="shared" si="0"/>
        <v>5</v>
      </c>
      <c r="E23" s="4">
        <f t="shared" si="1"/>
        <v>4689</v>
      </c>
      <c r="F23" s="4">
        <v>22</v>
      </c>
      <c r="G23" s="4">
        <v>22</v>
      </c>
      <c r="H23" s="1"/>
      <c r="I23" s="9">
        <v>0.1</v>
      </c>
      <c r="J23" s="5">
        <v>0.05</v>
      </c>
      <c r="K23" s="7">
        <v>0.3</v>
      </c>
      <c r="L23" s="1">
        <v>0.05</v>
      </c>
      <c r="M23" s="1">
        <v>0.14000000000000001</v>
      </c>
      <c r="N23" s="1"/>
      <c r="O23" s="1"/>
      <c r="P23" s="1">
        <v>0.08</v>
      </c>
      <c r="Q23" s="1">
        <v>0.12</v>
      </c>
      <c r="R23" s="5"/>
      <c r="S23" s="5"/>
      <c r="T23" s="4" t="s">
        <v>30</v>
      </c>
      <c r="U23" s="4" t="s">
        <v>30</v>
      </c>
      <c r="V23" s="4" t="s">
        <v>30</v>
      </c>
      <c r="W23" s="4" t="s">
        <v>30</v>
      </c>
    </row>
    <row r="24" spans="1:23" x14ac:dyDescent="0.2">
      <c r="A24" s="2" t="s">
        <v>36</v>
      </c>
      <c r="B24" s="3">
        <v>0</v>
      </c>
      <c r="D24" s="4">
        <f t="shared" si="0"/>
        <v>5</v>
      </c>
      <c r="E24" s="4">
        <f t="shared" si="1"/>
        <v>4689</v>
      </c>
      <c r="F24" s="4">
        <v>23</v>
      </c>
      <c r="G24" s="4">
        <v>23</v>
      </c>
      <c r="H24" s="9">
        <v>0.2</v>
      </c>
      <c r="I24" s="1"/>
      <c r="J24" s="5">
        <v>0.09</v>
      </c>
      <c r="K24" s="5">
        <v>0.17</v>
      </c>
      <c r="L24" s="1"/>
      <c r="M24" s="1"/>
      <c r="N24" s="1">
        <v>0.04</v>
      </c>
      <c r="O24" s="1"/>
      <c r="P24" s="1">
        <v>0.03</v>
      </c>
      <c r="Q24" s="1"/>
      <c r="R24" s="5">
        <v>0.14000000000000001</v>
      </c>
      <c r="S24" s="5"/>
      <c r="T24" s="4" t="s">
        <v>30</v>
      </c>
      <c r="U24" s="4" t="s">
        <v>30</v>
      </c>
      <c r="V24" s="4" t="s">
        <v>30</v>
      </c>
      <c r="W24" s="4" t="s">
        <v>30</v>
      </c>
    </row>
    <row r="25" spans="1:23" x14ac:dyDescent="0.2">
      <c r="A25" s="2" t="s">
        <v>37</v>
      </c>
      <c r="B25" s="3" t="s">
        <v>55</v>
      </c>
      <c r="D25" s="4">
        <f t="shared" si="0"/>
        <v>5</v>
      </c>
      <c r="E25" s="4">
        <f t="shared" si="1"/>
        <v>4689</v>
      </c>
      <c r="F25" s="4">
        <v>24</v>
      </c>
      <c r="G25" s="4">
        <v>24</v>
      </c>
      <c r="H25" s="1">
        <v>0.23</v>
      </c>
      <c r="I25" s="1">
        <v>0.02</v>
      </c>
      <c r="J25" s="5"/>
      <c r="K25" s="5"/>
      <c r="L25" s="1">
        <v>0.12</v>
      </c>
      <c r="M25" s="1"/>
      <c r="N25" s="1"/>
      <c r="O25" s="1"/>
      <c r="P25" s="1">
        <v>0.02</v>
      </c>
      <c r="Q25" s="1">
        <v>0.02</v>
      </c>
      <c r="R25" s="5"/>
      <c r="S25" s="5">
        <v>0.02</v>
      </c>
      <c r="T25" s="4" t="s">
        <v>30</v>
      </c>
      <c r="U25" s="4" t="s">
        <v>30</v>
      </c>
      <c r="V25" s="4" t="s">
        <v>30</v>
      </c>
      <c r="W25" s="4" t="s">
        <v>30</v>
      </c>
    </row>
    <row r="26" spans="1:23" x14ac:dyDescent="0.2">
      <c r="A26" s="2" t="s">
        <v>38</v>
      </c>
      <c r="D26" s="4">
        <f t="shared" si="0"/>
        <v>5</v>
      </c>
      <c r="E26" s="4">
        <f t="shared" si="1"/>
        <v>4689</v>
      </c>
      <c r="F26" s="4">
        <v>25</v>
      </c>
      <c r="G26" s="4">
        <v>25</v>
      </c>
      <c r="H26" s="5">
        <v>1.01</v>
      </c>
      <c r="I26" s="1"/>
      <c r="J26" s="5"/>
      <c r="K26" s="5">
        <v>0.04</v>
      </c>
      <c r="L26" s="1">
        <v>0.15</v>
      </c>
      <c r="M26" s="1"/>
      <c r="N26" s="1"/>
      <c r="O26" s="1"/>
      <c r="P26" s="1"/>
      <c r="Q26" s="1">
        <v>0.02</v>
      </c>
      <c r="R26" s="5"/>
      <c r="S26" s="5"/>
      <c r="T26" s="4" t="s">
        <v>30</v>
      </c>
      <c r="U26" s="4" t="s">
        <v>30</v>
      </c>
      <c r="V26" s="4" t="s">
        <v>30</v>
      </c>
      <c r="W26" s="4" t="s">
        <v>30</v>
      </c>
    </row>
    <row r="27" spans="1:23" x14ac:dyDescent="0.2">
      <c r="A27" s="2" t="s">
        <v>12</v>
      </c>
      <c r="D27" s="4">
        <f t="shared" si="0"/>
        <v>5</v>
      </c>
      <c r="E27" s="4">
        <f t="shared" si="1"/>
        <v>4689</v>
      </c>
      <c r="F27" s="4">
        <v>26</v>
      </c>
      <c r="G27" s="4">
        <v>26</v>
      </c>
      <c r="H27" s="5">
        <v>0.75</v>
      </c>
      <c r="I27" s="7">
        <v>0.5</v>
      </c>
      <c r="J27" s="5"/>
      <c r="K27" s="5">
        <v>0.02</v>
      </c>
      <c r="L27" s="1">
        <v>0.17</v>
      </c>
      <c r="M27" s="1">
        <v>0.11</v>
      </c>
      <c r="N27" s="1">
        <v>0.28000000000000003</v>
      </c>
      <c r="O27" s="1"/>
      <c r="P27" s="1"/>
      <c r="Q27" s="1"/>
      <c r="R27" s="5"/>
      <c r="S27" s="5"/>
      <c r="T27" s="4" t="s">
        <v>30</v>
      </c>
      <c r="U27" s="4" t="s">
        <v>30</v>
      </c>
      <c r="V27" s="4" t="s">
        <v>30</v>
      </c>
      <c r="W27" s="4" t="s">
        <v>30</v>
      </c>
    </row>
    <row r="28" spans="1:23" x14ac:dyDescent="0.2">
      <c r="A28" s="2" t="s">
        <v>39</v>
      </c>
      <c r="B28" s="3">
        <v>38.57</v>
      </c>
      <c r="D28" s="4">
        <f t="shared" si="0"/>
        <v>5</v>
      </c>
      <c r="E28" s="4">
        <f t="shared" si="1"/>
        <v>4689</v>
      </c>
      <c r="F28" s="4">
        <v>27</v>
      </c>
      <c r="G28" s="4">
        <v>27</v>
      </c>
      <c r="H28" s="5">
        <v>0.82</v>
      </c>
      <c r="I28" s="1">
        <v>0.18</v>
      </c>
      <c r="J28" s="5">
        <v>0.01</v>
      </c>
      <c r="K28" s="5"/>
      <c r="L28" s="1"/>
      <c r="M28" s="1"/>
      <c r="N28" s="1">
        <v>7.0000000000000007E-2</v>
      </c>
      <c r="O28" s="1"/>
      <c r="P28" s="1"/>
      <c r="Q28" s="1"/>
      <c r="R28" s="5">
        <v>0.02</v>
      </c>
      <c r="S28" s="5"/>
      <c r="T28" s="4" t="s">
        <v>30</v>
      </c>
      <c r="U28" s="4" t="s">
        <v>30</v>
      </c>
      <c r="V28" s="4" t="s">
        <v>30</v>
      </c>
      <c r="W28" s="4" t="s">
        <v>30</v>
      </c>
    </row>
    <row r="29" spans="1:23" x14ac:dyDescent="0.2">
      <c r="A29" s="2" t="s">
        <v>40</v>
      </c>
      <c r="B29" s="3">
        <v>172</v>
      </c>
      <c r="D29" s="4">
        <f t="shared" si="0"/>
        <v>5</v>
      </c>
      <c r="E29" s="4">
        <f t="shared" si="1"/>
        <v>4689</v>
      </c>
      <c r="F29" s="4">
        <v>28</v>
      </c>
      <c r="G29" s="4">
        <v>28</v>
      </c>
      <c r="H29" s="5">
        <v>0.43</v>
      </c>
      <c r="I29" s="1">
        <v>0.06</v>
      </c>
      <c r="J29" s="5">
        <v>0.16</v>
      </c>
      <c r="K29" s="5">
        <v>0.68</v>
      </c>
      <c r="L29" s="1"/>
      <c r="M29" s="1">
        <v>0.27</v>
      </c>
      <c r="N29" s="1"/>
      <c r="O29" s="1">
        <v>0.02</v>
      </c>
      <c r="P29" s="1"/>
      <c r="Q29" s="1"/>
      <c r="R29" s="5"/>
      <c r="S29" s="5">
        <v>0.02</v>
      </c>
      <c r="T29" s="4" t="s">
        <v>30</v>
      </c>
      <c r="U29" s="4" t="s">
        <v>30</v>
      </c>
      <c r="V29" s="4" t="s">
        <v>30</v>
      </c>
      <c r="W29" s="4" t="s">
        <v>30</v>
      </c>
    </row>
    <row r="30" spans="1:23" x14ac:dyDescent="0.2">
      <c r="A30" s="2" t="s">
        <v>41</v>
      </c>
      <c r="B30" s="3">
        <f>SUM(W2:W13)</f>
        <v>134</v>
      </c>
      <c r="D30" s="4">
        <f t="shared" si="0"/>
        <v>5</v>
      </c>
      <c r="E30" s="4">
        <f t="shared" si="1"/>
        <v>4689</v>
      </c>
      <c r="F30" s="4">
        <v>29</v>
      </c>
      <c r="G30" s="4">
        <v>29</v>
      </c>
      <c r="H30" s="5">
        <v>0.12</v>
      </c>
      <c r="I30" s="5"/>
      <c r="J30" s="7">
        <v>0.1</v>
      </c>
      <c r="K30" s="5">
        <v>0.03</v>
      </c>
      <c r="L30" s="1"/>
      <c r="M30" s="1"/>
      <c r="N30" s="1"/>
      <c r="O30" s="1"/>
      <c r="P30" s="1"/>
      <c r="Q30" s="1">
        <v>0.35</v>
      </c>
      <c r="R30" s="5"/>
      <c r="S30" s="5">
        <v>0.25</v>
      </c>
      <c r="T30" s="4" t="s">
        <v>30</v>
      </c>
      <c r="U30" s="4" t="s">
        <v>30</v>
      </c>
      <c r="V30" s="4" t="s">
        <v>30</v>
      </c>
      <c r="W30" s="4" t="s">
        <v>30</v>
      </c>
    </row>
    <row r="31" spans="1:23" x14ac:dyDescent="0.2">
      <c r="A31" s="2" t="s">
        <v>42</v>
      </c>
      <c r="B31" s="3" t="s">
        <v>53</v>
      </c>
      <c r="D31" s="4">
        <f t="shared" si="0"/>
        <v>5</v>
      </c>
      <c r="E31" s="4">
        <f t="shared" si="1"/>
        <v>4689</v>
      </c>
      <c r="F31" s="4">
        <v>30</v>
      </c>
      <c r="G31" s="4">
        <v>30</v>
      </c>
      <c r="H31" s="5"/>
      <c r="I31" s="5"/>
      <c r="J31" s="5">
        <v>0.05</v>
      </c>
      <c r="K31" s="5">
        <v>0.11</v>
      </c>
      <c r="L31" s="5"/>
      <c r="M31" s="5"/>
      <c r="N31" s="5"/>
      <c r="O31" s="5"/>
      <c r="P31" s="5"/>
      <c r="Q31" s="5">
        <v>0.62</v>
      </c>
      <c r="R31" s="5"/>
      <c r="S31" s="5">
        <v>0.11</v>
      </c>
      <c r="T31" s="4" t="s">
        <v>30</v>
      </c>
      <c r="U31" s="4" t="s">
        <v>30</v>
      </c>
      <c r="V31" s="4" t="s">
        <v>30</v>
      </c>
      <c r="W31" s="4" t="s">
        <v>30</v>
      </c>
    </row>
    <row r="32" spans="1:23" x14ac:dyDescent="0.2">
      <c r="A32" s="2" t="s">
        <v>43</v>
      </c>
      <c r="B32" s="3" t="s">
        <v>30</v>
      </c>
      <c r="D32" s="4">
        <f t="shared" si="0"/>
        <v>5</v>
      </c>
      <c r="E32" s="4">
        <f t="shared" si="1"/>
        <v>4689</v>
      </c>
      <c r="F32" s="4">
        <v>31</v>
      </c>
      <c r="G32" s="4">
        <v>31</v>
      </c>
      <c r="H32" s="5">
        <v>0.38</v>
      </c>
      <c r="I32" s="5"/>
      <c r="J32" s="5">
        <v>0.11</v>
      </c>
      <c r="K32" s="5"/>
      <c r="L32" s="5"/>
      <c r="M32" s="5"/>
      <c r="N32" s="5"/>
      <c r="O32" s="5"/>
      <c r="P32" s="5"/>
      <c r="Q32" s="5">
        <v>0.76</v>
      </c>
      <c r="R32" s="5"/>
      <c r="S32" s="5">
        <v>7.0000000000000007E-2</v>
      </c>
      <c r="T32" s="4" t="s">
        <v>30</v>
      </c>
      <c r="U32" s="4" t="s">
        <v>30</v>
      </c>
      <c r="V32" s="4" t="s">
        <v>30</v>
      </c>
      <c r="W32" s="4" t="s">
        <v>30</v>
      </c>
    </row>
    <row r="33" spans="1:2" x14ac:dyDescent="0.2">
      <c r="A33" s="2" t="s">
        <v>44</v>
      </c>
    </row>
    <row r="34" spans="1:2" x14ac:dyDescent="0.2">
      <c r="A34" s="2" t="s">
        <v>45</v>
      </c>
      <c r="B34" s="3" t="s">
        <v>30</v>
      </c>
    </row>
    <row r="35" spans="1:2" x14ac:dyDescent="0.2">
      <c r="A35" s="2" t="s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Ryan Goh</cp:lastModifiedBy>
  <dcterms:created xsi:type="dcterms:W3CDTF">2016-09-30T11:06:39Z</dcterms:created>
  <dcterms:modified xsi:type="dcterms:W3CDTF">2018-03-23T20:48:33Z</dcterms:modified>
</cp:coreProperties>
</file>