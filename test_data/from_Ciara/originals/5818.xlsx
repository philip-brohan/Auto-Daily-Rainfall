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iryan\Dropbox\UCL_Results\Master Files UCL\"/>
    </mc:Choice>
  </mc:AlternateContent>
  <bookViews>
    <workbookView xWindow="2475" yWindow="465" windowWidth="10620" windowHeight="16440"/>
  </bookViews>
  <sheets>
    <sheet name="Sheet1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E32" i="1" l="1"/>
  <c r="D32" i="1"/>
  <c r="E31" i="1"/>
  <c r="D31" i="1"/>
  <c r="E30" i="1"/>
  <c r="D30" i="1"/>
  <c r="E29" i="1"/>
  <c r="D29" i="1"/>
  <c r="E28" i="1"/>
  <c r="D28" i="1"/>
  <c r="E27" i="1"/>
  <c r="D27" i="1"/>
  <c r="E26" i="1"/>
  <c r="D26" i="1"/>
  <c r="E25" i="1"/>
  <c r="D25" i="1"/>
  <c r="E24" i="1"/>
  <c r="D24" i="1"/>
  <c r="E23" i="1"/>
  <c r="D23" i="1"/>
  <c r="E22" i="1"/>
  <c r="D22" i="1"/>
  <c r="E21" i="1"/>
  <c r="D21" i="1"/>
  <c r="E20" i="1"/>
  <c r="D20" i="1"/>
  <c r="E19" i="1"/>
  <c r="D19" i="1"/>
  <c r="E18" i="1"/>
  <c r="D18" i="1"/>
  <c r="B18" i="1"/>
  <c r="E17" i="1"/>
  <c r="D17" i="1"/>
  <c r="E16" i="1"/>
  <c r="D16" i="1"/>
  <c r="E15" i="1"/>
  <c r="D15" i="1"/>
  <c r="E14" i="1"/>
  <c r="D14" i="1"/>
  <c r="Y13" i="1"/>
  <c r="E13" i="1"/>
  <c r="D13" i="1"/>
  <c r="Y12" i="1"/>
  <c r="E12" i="1"/>
  <c r="D12" i="1"/>
  <c r="Y11" i="1"/>
  <c r="E11" i="1"/>
  <c r="D11" i="1"/>
  <c r="Y10" i="1"/>
  <c r="E10" i="1"/>
  <c r="D10" i="1"/>
  <c r="Y9" i="1"/>
  <c r="E9" i="1"/>
  <c r="D9" i="1"/>
  <c r="Y8" i="1"/>
  <c r="E8" i="1"/>
  <c r="D8" i="1"/>
  <c r="Y7" i="1"/>
  <c r="E7" i="1"/>
  <c r="D7" i="1"/>
  <c r="Y6" i="1"/>
  <c r="E6" i="1"/>
  <c r="D6" i="1"/>
  <c r="Y5" i="1"/>
  <c r="E5" i="1"/>
  <c r="D5" i="1"/>
  <c r="Y4" i="1"/>
  <c r="E4" i="1"/>
  <c r="D4" i="1"/>
  <c r="Y3" i="1"/>
  <c r="E3" i="1"/>
  <c r="D3" i="1"/>
  <c r="Y2" i="1"/>
  <c r="E2" i="1"/>
  <c r="D2" i="1"/>
</calcChain>
</file>

<file path=xl/sharedStrings.xml><?xml version="1.0" encoding="utf-8"?>
<sst xmlns="http://schemas.openxmlformats.org/spreadsheetml/2006/main" count="76" uniqueCount="56">
  <si>
    <t>docnum</t>
  </si>
  <si>
    <t>image_number</t>
  </si>
  <si>
    <t>row_number</t>
  </si>
  <si>
    <t>day</t>
  </si>
  <si>
    <t>rr_jan_9</t>
  </si>
  <si>
    <t>rr_feb_9</t>
  </si>
  <si>
    <t>rr_mar_9</t>
  </si>
  <si>
    <t>rr_apr_9</t>
  </si>
  <si>
    <t>rr_may_9</t>
  </si>
  <si>
    <t>rr_jun_9</t>
  </si>
  <si>
    <t>rr_jul_9</t>
  </si>
  <si>
    <t>rr_aug_9</t>
  </si>
  <si>
    <t>rr_sep_9</t>
  </si>
  <si>
    <t>rr_oct_9</t>
  </si>
  <si>
    <t>rr_nov_9</t>
  </si>
  <si>
    <t>rr_dec_9</t>
  </si>
  <si>
    <t>month</t>
  </si>
  <si>
    <t>m_total</t>
  </si>
  <si>
    <t>m_rainday</t>
  </si>
  <si>
    <t>m_wetday</t>
  </si>
  <si>
    <t>QA month</t>
  </si>
  <si>
    <t>imagename</t>
  </si>
  <si>
    <t>stnname</t>
  </si>
  <si>
    <t>stno</t>
  </si>
  <si>
    <t>stnlat</t>
  </si>
  <si>
    <t>stnlatmin</t>
  </si>
  <si>
    <t>stnlong</t>
  </si>
  <si>
    <t>stnlongmin</t>
  </si>
  <si>
    <t>year</t>
  </si>
  <si>
    <t>archcode</t>
  </si>
  <si>
    <t>comments</t>
  </si>
  <si>
    <t>stnum</t>
  </si>
  <si>
    <t>stname</t>
  </si>
  <si>
    <t>county</t>
  </si>
  <si>
    <t>funnel_diameter</t>
  </si>
  <si>
    <t>gauge_height_ft</t>
  </si>
  <si>
    <t>gauge_height_inch</t>
  </si>
  <si>
    <t>elevation</t>
  </si>
  <si>
    <t>next_jan_1</t>
  </si>
  <si>
    <t>yr_total</t>
  </si>
  <si>
    <t>yr_rainday</t>
  </si>
  <si>
    <t>yr_wetday</t>
  </si>
  <si>
    <t>observer</t>
  </si>
  <si>
    <t>train_loc</t>
  </si>
  <si>
    <t>train_dist</t>
  </si>
  <si>
    <t>train_dir</t>
  </si>
  <si>
    <t>gauge_pattern</t>
  </si>
  <si>
    <t>Time of observation</t>
  </si>
  <si>
    <t>na</t>
  </si>
  <si>
    <t>Mayfield Factory</t>
  </si>
  <si>
    <t>Good Quality</t>
  </si>
  <si>
    <t>24 inches</t>
  </si>
  <si>
    <t>50 feet</t>
  </si>
  <si>
    <t>Waterford</t>
  </si>
  <si>
    <t>Malcomson Bros.</t>
  </si>
  <si>
    <t>6am 6pm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</si>
</sst>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0" fillId="0" borderId="0" xfId="0" applyFill="1" applyAlignment="1">
      <alignment horizontal="right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6"/>
  <sheetViews>
    <sheetView tabSelected="1" topLeftCell="G16" zoomScale="90" zoomScaleNormal="90" workbookViewId="0">
      <selection activeCell="K25" sqref="K25"/>
    </sheetView>
  </sheetViews>
  <sheetFormatPr defaultColWidth="8.85546875" defaultRowHeight="15" x14ac:dyDescent="0.25"/>
  <cols>
    <col min="1" max="1" width="19.28515625" style="1" customWidth="1"/>
    <col min="2" max="2" width="9.140625" style="4"/>
  </cols>
  <sheetData>
    <row r="1" spans="1:25" x14ac:dyDescent="0.25">
      <c r="A1" s="1" t="s">
        <v>0</v>
      </c>
      <c r="B1" s="4">
        <v>7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/>
      <c r="Y1" s="2" t="s">
        <v>20</v>
      </c>
    </row>
    <row r="2" spans="1:25" x14ac:dyDescent="0.25">
      <c r="A2" s="1" t="s">
        <v>21</v>
      </c>
      <c r="B2" s="4">
        <v>5818</v>
      </c>
      <c r="D2">
        <f>($B$1)</f>
        <v>7</v>
      </c>
      <c r="E2">
        <f>($B$2)</f>
        <v>5818</v>
      </c>
      <c r="F2">
        <v>1</v>
      </c>
      <c r="G2">
        <v>1</v>
      </c>
      <c r="H2">
        <v>0.9</v>
      </c>
      <c r="I2">
        <v>0.04</v>
      </c>
      <c r="J2">
        <v>0.03</v>
      </c>
      <c r="N2">
        <v>0.05</v>
      </c>
      <c r="P2">
        <v>0.08</v>
      </c>
      <c r="R2">
        <v>0.47</v>
      </c>
      <c r="T2">
        <v>1</v>
      </c>
      <c r="U2">
        <v>8.6300000000000008</v>
      </c>
      <c r="Y2" s="3">
        <f>SUM(H2:H32)</f>
        <v>8.6300000000000008</v>
      </c>
    </row>
    <row r="3" spans="1:25" x14ac:dyDescent="0.25">
      <c r="A3" s="1" t="s">
        <v>22</v>
      </c>
      <c r="B3" s="4" t="s">
        <v>49</v>
      </c>
      <c r="D3">
        <f t="shared" ref="D3:D32" si="0">($B$1)</f>
        <v>7</v>
      </c>
      <c r="E3">
        <f t="shared" ref="E3:E32" si="1">($B$2)</f>
        <v>5818</v>
      </c>
      <c r="F3">
        <v>2</v>
      </c>
      <c r="G3">
        <v>2</v>
      </c>
      <c r="H3">
        <v>0.28000000000000003</v>
      </c>
      <c r="L3">
        <v>0.3</v>
      </c>
      <c r="N3">
        <v>7.0000000000000007E-2</v>
      </c>
      <c r="Q3">
        <v>0.08</v>
      </c>
      <c r="R3">
        <v>0.87</v>
      </c>
      <c r="T3">
        <v>2</v>
      </c>
      <c r="U3">
        <v>1.8</v>
      </c>
      <c r="Y3" s="3">
        <f>SUM(I:I)</f>
        <v>1.7999999999999998</v>
      </c>
    </row>
    <row r="4" spans="1:25" x14ac:dyDescent="0.25">
      <c r="A4" s="1" t="s">
        <v>23</v>
      </c>
      <c r="B4" s="4" t="s">
        <v>48</v>
      </c>
      <c r="D4">
        <f t="shared" si="0"/>
        <v>7</v>
      </c>
      <c r="E4">
        <f t="shared" si="1"/>
        <v>5818</v>
      </c>
      <c r="F4">
        <v>3</v>
      </c>
      <c r="G4">
        <v>3</v>
      </c>
      <c r="H4">
        <v>0.34</v>
      </c>
      <c r="I4">
        <v>0.02</v>
      </c>
      <c r="K4">
        <v>0.1</v>
      </c>
      <c r="P4">
        <v>0.75</v>
      </c>
      <c r="Q4">
        <v>0.2</v>
      </c>
      <c r="R4">
        <v>0.23</v>
      </c>
      <c r="T4">
        <v>3</v>
      </c>
      <c r="U4">
        <v>1.0900000000000001</v>
      </c>
      <c r="Y4" s="3">
        <f>SUM(J:J)</f>
        <v>1.0900000000000001</v>
      </c>
    </row>
    <row r="5" spans="1:25" x14ac:dyDescent="0.25">
      <c r="A5" s="1" t="s">
        <v>24</v>
      </c>
      <c r="B5" s="4" t="s">
        <v>48</v>
      </c>
      <c r="D5">
        <f t="shared" si="0"/>
        <v>7</v>
      </c>
      <c r="E5">
        <f t="shared" si="1"/>
        <v>5818</v>
      </c>
      <c r="F5">
        <v>4</v>
      </c>
      <c r="G5">
        <v>4</v>
      </c>
      <c r="H5">
        <v>0.17</v>
      </c>
      <c r="K5">
        <v>0.17</v>
      </c>
      <c r="R5">
        <v>0.02</v>
      </c>
      <c r="T5">
        <v>4</v>
      </c>
      <c r="U5">
        <v>0.91</v>
      </c>
      <c r="Y5" s="3">
        <f>SUM(K:K)</f>
        <v>0.91</v>
      </c>
    </row>
    <row r="6" spans="1:25" x14ac:dyDescent="0.25">
      <c r="A6" s="1" t="s">
        <v>25</v>
      </c>
      <c r="B6" s="4" t="s">
        <v>48</v>
      </c>
      <c r="D6">
        <f t="shared" si="0"/>
        <v>7</v>
      </c>
      <c r="E6">
        <f t="shared" si="1"/>
        <v>5818</v>
      </c>
      <c r="F6">
        <v>5</v>
      </c>
      <c r="G6">
        <v>5</v>
      </c>
      <c r="H6">
        <v>0.15</v>
      </c>
      <c r="I6">
        <v>0.09</v>
      </c>
      <c r="J6">
        <v>0.33</v>
      </c>
      <c r="K6">
        <v>0.25</v>
      </c>
      <c r="L6">
        <v>0.2</v>
      </c>
      <c r="R6">
        <v>0.33</v>
      </c>
      <c r="T6">
        <v>5</v>
      </c>
      <c r="U6">
        <v>1.79</v>
      </c>
      <c r="Y6" s="3">
        <f>SUM(L:L)</f>
        <v>1.7900000000000003</v>
      </c>
    </row>
    <row r="7" spans="1:25" x14ac:dyDescent="0.25">
      <c r="A7" s="1" t="s">
        <v>26</v>
      </c>
      <c r="B7" s="4" t="s">
        <v>48</v>
      </c>
      <c r="D7">
        <f t="shared" si="0"/>
        <v>7</v>
      </c>
      <c r="E7">
        <f t="shared" si="1"/>
        <v>5818</v>
      </c>
      <c r="F7">
        <v>6</v>
      </c>
      <c r="G7">
        <v>6</v>
      </c>
      <c r="H7">
        <v>0.31</v>
      </c>
      <c r="I7">
        <v>0.09</v>
      </c>
      <c r="K7">
        <v>0.14000000000000001</v>
      </c>
      <c r="L7">
        <v>0.56999999999999995</v>
      </c>
      <c r="M7">
        <v>0.08</v>
      </c>
      <c r="O7">
        <v>0.35</v>
      </c>
      <c r="R7">
        <v>0.3</v>
      </c>
      <c r="T7">
        <v>6</v>
      </c>
      <c r="U7">
        <v>2.35</v>
      </c>
      <c r="Y7" s="3">
        <f>SUM(M:M)</f>
        <v>2.3500000000000005</v>
      </c>
    </row>
    <row r="8" spans="1:25" x14ac:dyDescent="0.25">
      <c r="A8" s="1" t="s">
        <v>27</v>
      </c>
      <c r="B8" s="4" t="s">
        <v>48</v>
      </c>
      <c r="D8">
        <f t="shared" si="0"/>
        <v>7</v>
      </c>
      <c r="E8">
        <f t="shared" si="1"/>
        <v>5818</v>
      </c>
      <c r="F8">
        <v>7</v>
      </c>
      <c r="G8">
        <v>7</v>
      </c>
      <c r="I8">
        <v>0.12</v>
      </c>
      <c r="J8">
        <v>0.05</v>
      </c>
      <c r="L8">
        <v>0.11</v>
      </c>
      <c r="R8">
        <v>0.1</v>
      </c>
      <c r="T8">
        <v>7</v>
      </c>
      <c r="U8">
        <v>2.84</v>
      </c>
      <c r="Y8" s="3">
        <f>SUM(N:N)</f>
        <v>2.84</v>
      </c>
    </row>
    <row r="9" spans="1:25" x14ac:dyDescent="0.25">
      <c r="A9" s="1" t="s">
        <v>28</v>
      </c>
      <c r="B9" s="4">
        <v>1875</v>
      </c>
      <c r="D9">
        <f t="shared" si="0"/>
        <v>7</v>
      </c>
      <c r="E9">
        <f t="shared" si="1"/>
        <v>5818</v>
      </c>
      <c r="F9">
        <v>8</v>
      </c>
      <c r="G9">
        <v>8</v>
      </c>
      <c r="H9">
        <v>0.76</v>
      </c>
      <c r="J9">
        <v>0.13</v>
      </c>
      <c r="M9">
        <v>0.05</v>
      </c>
      <c r="N9">
        <v>0.19</v>
      </c>
      <c r="O9">
        <v>0.24</v>
      </c>
      <c r="P9">
        <v>0.15</v>
      </c>
      <c r="Q9">
        <v>0.57999999999999996</v>
      </c>
      <c r="T9">
        <v>8</v>
      </c>
      <c r="U9">
        <v>2.12</v>
      </c>
      <c r="Y9" s="3">
        <f>SUM(O:O)</f>
        <v>2.12</v>
      </c>
    </row>
    <row r="10" spans="1:25" x14ac:dyDescent="0.25">
      <c r="A10" s="1" t="s">
        <v>16</v>
      </c>
      <c r="B10" s="4">
        <v>1</v>
      </c>
      <c r="D10">
        <f t="shared" si="0"/>
        <v>7</v>
      </c>
      <c r="E10">
        <f t="shared" si="1"/>
        <v>5818</v>
      </c>
      <c r="F10">
        <v>9</v>
      </c>
      <c r="G10">
        <v>9</v>
      </c>
      <c r="H10">
        <v>0.57999999999999996</v>
      </c>
      <c r="I10">
        <v>0.09</v>
      </c>
      <c r="M10">
        <v>0.25</v>
      </c>
      <c r="O10">
        <v>0.6</v>
      </c>
      <c r="R10">
        <v>0.45</v>
      </c>
      <c r="T10">
        <v>9</v>
      </c>
      <c r="U10">
        <v>6.3</v>
      </c>
      <c r="Y10" s="3">
        <f>SUM(P:P)</f>
        <v>6.3</v>
      </c>
    </row>
    <row r="11" spans="1:25" x14ac:dyDescent="0.25">
      <c r="A11" s="1" t="s">
        <v>3</v>
      </c>
      <c r="B11" s="4">
        <v>1</v>
      </c>
      <c r="D11">
        <f t="shared" si="0"/>
        <v>7</v>
      </c>
      <c r="E11">
        <f t="shared" si="1"/>
        <v>5818</v>
      </c>
      <c r="F11">
        <v>10</v>
      </c>
      <c r="G11">
        <v>10</v>
      </c>
      <c r="M11">
        <v>0.1</v>
      </c>
      <c r="N11">
        <v>0.23</v>
      </c>
      <c r="Q11">
        <v>0.11</v>
      </c>
      <c r="T11">
        <v>10</v>
      </c>
      <c r="U11">
        <v>10.039999999999999</v>
      </c>
      <c r="Y11" s="3">
        <f>SUM(Q:Q)</f>
        <v>10.07</v>
      </c>
    </row>
    <row r="12" spans="1:25" x14ac:dyDescent="0.25">
      <c r="A12" s="1" t="s">
        <v>29</v>
      </c>
      <c r="B12" s="4" t="s">
        <v>48</v>
      </c>
      <c r="D12">
        <f t="shared" si="0"/>
        <v>7</v>
      </c>
      <c r="E12">
        <f t="shared" si="1"/>
        <v>5818</v>
      </c>
      <c r="F12">
        <v>11</v>
      </c>
      <c r="G12">
        <v>11</v>
      </c>
      <c r="H12">
        <v>0.32</v>
      </c>
      <c r="I12">
        <v>0.18</v>
      </c>
      <c r="M12">
        <v>0.22</v>
      </c>
      <c r="N12">
        <v>0.17</v>
      </c>
      <c r="R12">
        <v>0.08</v>
      </c>
      <c r="T12">
        <v>11</v>
      </c>
      <c r="U12">
        <v>4.32</v>
      </c>
      <c r="Y12" s="3">
        <f>SUM(R:R)</f>
        <v>4.3199999999999994</v>
      </c>
    </row>
    <row r="13" spans="1:25" x14ac:dyDescent="0.25">
      <c r="A13" s="1" t="s">
        <v>30</v>
      </c>
      <c r="B13" s="4" t="s">
        <v>50</v>
      </c>
      <c r="D13">
        <f t="shared" si="0"/>
        <v>7</v>
      </c>
      <c r="E13">
        <f t="shared" si="1"/>
        <v>5818</v>
      </c>
      <c r="F13">
        <v>12</v>
      </c>
      <c r="G13">
        <v>12</v>
      </c>
      <c r="H13">
        <v>0.03</v>
      </c>
      <c r="M13">
        <v>0.05</v>
      </c>
      <c r="O13">
        <v>0.05</v>
      </c>
      <c r="R13">
        <v>0.32</v>
      </c>
      <c r="T13">
        <v>12</v>
      </c>
      <c r="U13">
        <v>2.25</v>
      </c>
      <c r="Y13" s="3">
        <f>SUM(S:S)</f>
        <v>2.2500000000000004</v>
      </c>
    </row>
    <row r="14" spans="1:25" x14ac:dyDescent="0.25">
      <c r="D14">
        <f t="shared" si="0"/>
        <v>7</v>
      </c>
      <c r="E14">
        <f t="shared" si="1"/>
        <v>5818</v>
      </c>
      <c r="F14">
        <v>13</v>
      </c>
      <c r="G14">
        <v>13</v>
      </c>
      <c r="H14">
        <v>0.56000000000000005</v>
      </c>
      <c r="I14">
        <v>0.19</v>
      </c>
      <c r="J14">
        <v>0.1</v>
      </c>
      <c r="M14">
        <v>0.11</v>
      </c>
      <c r="N14">
        <v>0.15</v>
      </c>
      <c r="R14">
        <v>0.64</v>
      </c>
    </row>
    <row r="15" spans="1:25" x14ac:dyDescent="0.25">
      <c r="A15" s="1" t="s">
        <v>0</v>
      </c>
      <c r="B15" s="4">
        <v>7</v>
      </c>
      <c r="D15">
        <f t="shared" si="0"/>
        <v>7</v>
      </c>
      <c r="E15">
        <f t="shared" si="1"/>
        <v>5818</v>
      </c>
      <c r="F15">
        <v>14</v>
      </c>
      <c r="G15">
        <v>14</v>
      </c>
      <c r="H15">
        <v>1.04</v>
      </c>
      <c r="J15">
        <v>0.04</v>
      </c>
      <c r="M15">
        <v>0.3</v>
      </c>
      <c r="N15">
        <v>0.85</v>
      </c>
    </row>
    <row r="16" spans="1:25" x14ac:dyDescent="0.25">
      <c r="A16" s="1" t="s">
        <v>1</v>
      </c>
      <c r="B16" s="4">
        <v>5818</v>
      </c>
      <c r="D16">
        <f t="shared" si="0"/>
        <v>7</v>
      </c>
      <c r="E16">
        <f t="shared" si="1"/>
        <v>5818</v>
      </c>
      <c r="F16">
        <v>15</v>
      </c>
      <c r="G16">
        <v>15</v>
      </c>
      <c r="H16">
        <v>0.3</v>
      </c>
      <c r="M16">
        <v>7.0000000000000007E-2</v>
      </c>
      <c r="O16">
        <v>0.11</v>
      </c>
      <c r="R16">
        <v>0.18</v>
      </c>
    </row>
    <row r="17" spans="1:19" x14ac:dyDescent="0.25">
      <c r="A17" s="1" t="s">
        <v>2</v>
      </c>
      <c r="B17" s="4">
        <v>1</v>
      </c>
      <c r="D17">
        <f t="shared" si="0"/>
        <v>7</v>
      </c>
      <c r="E17">
        <f t="shared" si="1"/>
        <v>5818</v>
      </c>
      <c r="F17">
        <v>16</v>
      </c>
      <c r="G17">
        <v>16</v>
      </c>
      <c r="H17">
        <v>0.02</v>
      </c>
      <c r="J17">
        <v>0.32</v>
      </c>
      <c r="M17">
        <v>0.11</v>
      </c>
      <c r="N17">
        <v>0.12</v>
      </c>
      <c r="O17">
        <v>0.15</v>
      </c>
      <c r="P17">
        <v>0.08</v>
      </c>
      <c r="Q17">
        <v>0.4</v>
      </c>
      <c r="R17">
        <v>0.22</v>
      </c>
      <c r="S17">
        <v>0.04</v>
      </c>
    </row>
    <row r="18" spans="1:19" x14ac:dyDescent="0.25">
      <c r="A18" s="1" t="s">
        <v>31</v>
      </c>
      <c r="B18" s="4" t="str">
        <f>(B4)</f>
        <v>na</v>
      </c>
      <c r="D18">
        <f t="shared" si="0"/>
        <v>7</v>
      </c>
      <c r="E18">
        <f t="shared" si="1"/>
        <v>5818</v>
      </c>
      <c r="F18">
        <v>17</v>
      </c>
      <c r="G18">
        <v>17</v>
      </c>
      <c r="H18">
        <v>0.33</v>
      </c>
      <c r="P18">
        <v>7.0000000000000007E-2</v>
      </c>
      <c r="R18">
        <v>0.02</v>
      </c>
      <c r="S18">
        <v>0.52</v>
      </c>
    </row>
    <row r="19" spans="1:19" x14ac:dyDescent="0.25">
      <c r="A19" s="1" t="s">
        <v>28</v>
      </c>
      <c r="B19" s="4">
        <v>1875</v>
      </c>
      <c r="D19">
        <f t="shared" si="0"/>
        <v>7</v>
      </c>
      <c r="E19">
        <f t="shared" si="1"/>
        <v>5818</v>
      </c>
      <c r="F19">
        <v>18</v>
      </c>
      <c r="G19">
        <v>18</v>
      </c>
      <c r="H19">
        <v>0.12</v>
      </c>
      <c r="N19">
        <v>0.61</v>
      </c>
      <c r="P19">
        <v>0.62</v>
      </c>
      <c r="Q19">
        <v>1.56</v>
      </c>
      <c r="R19">
        <v>0.06</v>
      </c>
      <c r="S19">
        <v>0.1</v>
      </c>
    </row>
    <row r="20" spans="1:19" x14ac:dyDescent="0.25">
      <c r="A20" s="1" t="s">
        <v>32</v>
      </c>
      <c r="B20" s="4" t="s">
        <v>49</v>
      </c>
      <c r="D20">
        <f t="shared" si="0"/>
        <v>7</v>
      </c>
      <c r="E20">
        <f t="shared" si="1"/>
        <v>5818</v>
      </c>
      <c r="F20">
        <v>19</v>
      </c>
      <c r="G20">
        <v>19</v>
      </c>
      <c r="H20">
        <v>0.16</v>
      </c>
      <c r="L20">
        <v>0.33</v>
      </c>
      <c r="M20">
        <v>0.08</v>
      </c>
      <c r="P20">
        <v>0.47</v>
      </c>
      <c r="S20">
        <v>0.15</v>
      </c>
    </row>
    <row r="21" spans="1:19" x14ac:dyDescent="0.25">
      <c r="A21" s="1" t="s">
        <v>33</v>
      </c>
      <c r="B21" s="4" t="s">
        <v>53</v>
      </c>
      <c r="D21">
        <f t="shared" si="0"/>
        <v>7</v>
      </c>
      <c r="E21">
        <f t="shared" si="1"/>
        <v>5818</v>
      </c>
      <c r="F21">
        <v>20</v>
      </c>
      <c r="G21">
        <v>20</v>
      </c>
      <c r="I21">
        <v>0.17</v>
      </c>
      <c r="K21" s="5"/>
      <c r="M21">
        <v>0.08</v>
      </c>
      <c r="Q21">
        <v>0.2</v>
      </c>
      <c r="S21">
        <v>7.0000000000000007E-2</v>
      </c>
    </row>
    <row r="22" spans="1:19" x14ac:dyDescent="0.25">
      <c r="A22" s="1" t="s">
        <v>34</v>
      </c>
      <c r="B22" s="4" t="s">
        <v>51</v>
      </c>
      <c r="D22">
        <f t="shared" si="0"/>
        <v>7</v>
      </c>
      <c r="E22">
        <f t="shared" si="1"/>
        <v>5818</v>
      </c>
      <c r="F22">
        <v>21</v>
      </c>
      <c r="G22">
        <v>21</v>
      </c>
      <c r="H22">
        <v>0.28000000000000003</v>
      </c>
      <c r="K22" s="5">
        <v>0.15</v>
      </c>
      <c r="L22">
        <v>0.11</v>
      </c>
      <c r="M22">
        <v>0.1</v>
      </c>
      <c r="P22">
        <v>0.79</v>
      </c>
      <c r="Q22">
        <v>0.37</v>
      </c>
      <c r="S22">
        <v>0.69</v>
      </c>
    </row>
    <row r="23" spans="1:19" x14ac:dyDescent="0.25">
      <c r="A23" s="1" t="s">
        <v>35</v>
      </c>
      <c r="B23" s="4">
        <v>20</v>
      </c>
      <c r="D23">
        <f t="shared" si="0"/>
        <v>7</v>
      </c>
      <c r="E23">
        <f t="shared" si="1"/>
        <v>5818</v>
      </c>
      <c r="F23">
        <v>22</v>
      </c>
      <c r="G23">
        <v>22</v>
      </c>
      <c r="H23">
        <v>0.23</v>
      </c>
      <c r="M23">
        <v>0.06</v>
      </c>
      <c r="N23">
        <v>0.15</v>
      </c>
      <c r="P23">
        <v>0.37</v>
      </c>
      <c r="Q23">
        <v>0.54</v>
      </c>
    </row>
    <row r="24" spans="1:19" x14ac:dyDescent="0.25">
      <c r="A24" s="1" t="s">
        <v>36</v>
      </c>
      <c r="B24" s="4">
        <v>0</v>
      </c>
      <c r="D24">
        <f t="shared" si="0"/>
        <v>7</v>
      </c>
      <c r="E24">
        <f t="shared" si="1"/>
        <v>5818</v>
      </c>
      <c r="F24">
        <v>23</v>
      </c>
      <c r="G24">
        <v>23</v>
      </c>
      <c r="H24">
        <v>0.35</v>
      </c>
      <c r="L24">
        <v>0.08</v>
      </c>
      <c r="N24">
        <v>0.2</v>
      </c>
      <c r="O24">
        <v>0.52</v>
      </c>
      <c r="P24">
        <v>0.85</v>
      </c>
    </row>
    <row r="25" spans="1:19" x14ac:dyDescent="0.25">
      <c r="A25" s="1" t="s">
        <v>37</v>
      </c>
      <c r="B25" s="4" t="s">
        <v>52</v>
      </c>
      <c r="D25">
        <f t="shared" si="0"/>
        <v>7</v>
      </c>
      <c r="E25">
        <f t="shared" si="1"/>
        <v>5818</v>
      </c>
      <c r="F25">
        <v>24</v>
      </c>
      <c r="G25">
        <v>24</v>
      </c>
      <c r="H25">
        <v>0.64</v>
      </c>
      <c r="I25">
        <v>0.11</v>
      </c>
      <c r="O25">
        <v>0.1</v>
      </c>
      <c r="P25">
        <v>0.43</v>
      </c>
      <c r="S25">
        <v>0.05</v>
      </c>
    </row>
    <row r="26" spans="1:19" x14ac:dyDescent="0.25">
      <c r="A26" s="1" t="s">
        <v>38</v>
      </c>
      <c r="B26" s="4" t="s">
        <v>48</v>
      </c>
      <c r="D26">
        <f t="shared" si="0"/>
        <v>7</v>
      </c>
      <c r="E26">
        <f t="shared" si="1"/>
        <v>5818</v>
      </c>
      <c r="F26">
        <v>25</v>
      </c>
      <c r="G26">
        <v>25</v>
      </c>
      <c r="I26">
        <v>0.3</v>
      </c>
      <c r="J26">
        <v>0.09</v>
      </c>
      <c r="P26">
        <v>0.32</v>
      </c>
      <c r="Q26">
        <v>0.94</v>
      </c>
    </row>
    <row r="27" spans="1:19" x14ac:dyDescent="0.25">
      <c r="A27" s="1" t="s">
        <v>30</v>
      </c>
      <c r="D27">
        <f t="shared" si="0"/>
        <v>7</v>
      </c>
      <c r="E27">
        <f t="shared" si="1"/>
        <v>5818</v>
      </c>
      <c r="F27">
        <v>26</v>
      </c>
      <c r="G27">
        <v>26</v>
      </c>
      <c r="H27">
        <v>0.08</v>
      </c>
      <c r="I27">
        <v>0.4</v>
      </c>
      <c r="P27">
        <v>1.08</v>
      </c>
      <c r="Q27">
        <v>1.41</v>
      </c>
      <c r="S27">
        <v>0.09</v>
      </c>
    </row>
    <row r="28" spans="1:19" x14ac:dyDescent="0.25">
      <c r="A28" s="1" t="s">
        <v>39</v>
      </c>
      <c r="B28" s="4">
        <v>44.47</v>
      </c>
      <c r="D28">
        <f t="shared" si="0"/>
        <v>7</v>
      </c>
      <c r="E28">
        <f t="shared" si="1"/>
        <v>5818</v>
      </c>
      <c r="F28">
        <v>27</v>
      </c>
      <c r="G28">
        <v>27</v>
      </c>
      <c r="H28">
        <v>0.13</v>
      </c>
      <c r="M28">
        <v>0.44</v>
      </c>
      <c r="N28">
        <v>0.05</v>
      </c>
      <c r="P28">
        <v>0.04</v>
      </c>
      <c r="Q28">
        <v>0.21</v>
      </c>
      <c r="S28">
        <v>0.08</v>
      </c>
    </row>
    <row r="29" spans="1:19" x14ac:dyDescent="0.25">
      <c r="A29" s="1" t="s">
        <v>40</v>
      </c>
      <c r="B29" s="4" t="s">
        <v>48</v>
      </c>
      <c r="D29">
        <f t="shared" si="0"/>
        <v>7</v>
      </c>
      <c r="E29">
        <f t="shared" si="1"/>
        <v>5818</v>
      </c>
      <c r="F29">
        <v>28</v>
      </c>
      <c r="G29">
        <v>28</v>
      </c>
      <c r="H29">
        <v>0.06</v>
      </c>
      <c r="L29">
        <v>0.09</v>
      </c>
      <c r="M29">
        <v>0.12</v>
      </c>
      <c r="P29">
        <v>0.04</v>
      </c>
      <c r="Q29">
        <v>0.02</v>
      </c>
    </row>
    <row r="30" spans="1:19" x14ac:dyDescent="0.25">
      <c r="A30" s="1" t="s">
        <v>41</v>
      </c>
      <c r="B30" s="4" t="s">
        <v>48</v>
      </c>
      <c r="D30">
        <f t="shared" si="0"/>
        <v>7</v>
      </c>
      <c r="E30">
        <f t="shared" si="1"/>
        <v>5818</v>
      </c>
      <c r="F30">
        <v>29</v>
      </c>
      <c r="G30">
        <v>29</v>
      </c>
      <c r="Q30">
        <v>1.17</v>
      </c>
    </row>
    <row r="31" spans="1:19" x14ac:dyDescent="0.25">
      <c r="A31" s="1" t="s">
        <v>42</v>
      </c>
      <c r="B31" s="4" t="s">
        <v>54</v>
      </c>
      <c r="D31">
        <f t="shared" si="0"/>
        <v>7</v>
      </c>
      <c r="E31">
        <f t="shared" si="1"/>
        <v>5818</v>
      </c>
      <c r="F31">
        <v>30</v>
      </c>
      <c r="G31">
        <v>30</v>
      </c>
      <c r="H31">
        <v>0.4</v>
      </c>
      <c r="K31">
        <v>0.1</v>
      </c>
      <c r="M31">
        <v>0.13</v>
      </c>
      <c r="P31">
        <v>0.16</v>
      </c>
      <c r="Q31">
        <v>1.2</v>
      </c>
      <c r="R31">
        <v>0.03</v>
      </c>
      <c r="S31">
        <v>7.0000000000000007E-2</v>
      </c>
    </row>
    <row r="32" spans="1:19" x14ac:dyDescent="0.25">
      <c r="A32" s="1" t="s">
        <v>43</v>
      </c>
      <c r="B32" s="4" t="s">
        <v>48</v>
      </c>
      <c r="D32">
        <f t="shared" si="0"/>
        <v>7</v>
      </c>
      <c r="E32">
        <f t="shared" si="1"/>
        <v>5818</v>
      </c>
      <c r="F32">
        <v>31</v>
      </c>
      <c r="G32">
        <v>31</v>
      </c>
      <c r="H32">
        <v>0.09</v>
      </c>
      <c r="Q32">
        <v>1.08</v>
      </c>
      <c r="S32">
        <v>0.39</v>
      </c>
    </row>
    <row r="33" spans="1:2" x14ac:dyDescent="0.25">
      <c r="A33" s="1" t="s">
        <v>44</v>
      </c>
      <c r="B33" s="4" t="s">
        <v>48</v>
      </c>
    </row>
    <row r="34" spans="1:2" x14ac:dyDescent="0.25">
      <c r="A34" s="1" t="s">
        <v>45</v>
      </c>
      <c r="B34" s="4" t="s">
        <v>48</v>
      </c>
    </row>
    <row r="35" spans="1:2" x14ac:dyDescent="0.25">
      <c r="A35" s="1" t="s">
        <v>46</v>
      </c>
    </row>
    <row r="36" spans="1:2" x14ac:dyDescent="0.25">
      <c r="A36" s="1" t="s">
        <v>47</v>
      </c>
      <c r="B36" s="4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cmmurphy</dc:creator>
  <cp:lastModifiedBy>IT Services</cp:lastModifiedBy>
  <dcterms:created xsi:type="dcterms:W3CDTF">2016-09-30T14:22:39Z</dcterms:created>
  <dcterms:modified xsi:type="dcterms:W3CDTF">2018-04-08T13:35:27Z</dcterms:modified>
</cp:coreProperties>
</file>