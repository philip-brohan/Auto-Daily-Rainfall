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21570" windowHeight="805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<sst xmlns="http://schemas.openxmlformats.org/spreadsheetml/2006/main" count="143" uniqueCount="53">
  <si>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</si>
  <si>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</si>
  <si>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</si>
  <si>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</si>
  <si>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</si>
  <si>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</si>
  <si>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</si>
  <si>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</si>
  <si>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</si>
  <si>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</si>
  <si>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</si>
  <si>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</si>
  <si>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</si>
  <si>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</si>
  <si>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</si>
  <si>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</si>
  <si>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</si>
  <si>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</si>
  <si>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</si>
  <si>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</si>
  <si>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</si>
  <si>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</si>
  <si>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</si>
  <si>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</si>
  <si>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</si>
  <si>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</si>
  <si>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</si>
  <si>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</si>
  <si>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</si>
  <si>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</si>
  <si>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</si>
  <si>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</si>
  <si>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</si>
  <si>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</si>
  <si>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</si>
  <si>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</si>
  <si>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</si>
  <si>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</si>
  <si>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</si>
  <si>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</si>
  <si>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</si>
  <si>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</si>
  <si>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</si>
  <si>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</si>
  <si>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</si>
  <si>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</si>
  <si>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</si>
  <si>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</si>
  <si>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</si>
  <si>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Greystones (Burnaby Lodge)</t>
  </si>
  <si>
    <t>Wicklow</t>
  </si>
  <si>
    <t>Good quality</t>
  </si>
  <si>
    <t>5inch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</si>
</sst>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60" zoomScaleNormal="60" workbookViewId="0">
      <selection activeCell="Q4" sqref="Q4:Q5"/>
    </sheetView>
  </sheetViews>
  <sheetFormatPr defaultRowHeight="15" x14ac:dyDescent="0.25"/>
  <cols>
    <col min="1" max="1" width="22.7109375" customWidth="1"/>
    <col min="2" max="2" width="24.5703125" style="3" customWidth="1"/>
    <col min="22" max="23" width="12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3680</v>
      </c>
      <c r="D2">
        <f>($B$1)</f>
        <v>5</v>
      </c>
      <c r="E2">
        <f>($B$2)</f>
        <v>3680</v>
      </c>
      <c r="F2">
        <v>1</v>
      </c>
      <c r="G2">
        <v>1</v>
      </c>
      <c r="I2">
        <v>0.04</v>
      </c>
      <c r="P2">
        <v>0.03</v>
      </c>
      <c r="R2">
        <v>0.02</v>
      </c>
      <c r="T2">
        <v>1</v>
      </c>
      <c r="U2">
        <v>4.76</v>
      </c>
      <c r="V2">
        <v>10</v>
      </c>
      <c r="W2">
        <v>10</v>
      </c>
      <c r="Y2" s="2">
        <f>SUM(H2:H32)</f>
        <v>4.76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3680</v>
      </c>
      <c r="F3">
        <v>2</v>
      </c>
      <c r="G3">
        <v>2</v>
      </c>
      <c r="K3">
        <v>0.18</v>
      </c>
      <c r="R3">
        <v>0.5</v>
      </c>
      <c r="S3">
        <v>0.09</v>
      </c>
      <c r="T3">
        <v>2</v>
      </c>
      <c r="U3">
        <v>5.27</v>
      </c>
      <c r="V3">
        <v>18</v>
      </c>
      <c r="W3">
        <v>17</v>
      </c>
      <c r="Y3" s="2">
        <f>SUM(I:I)</f>
        <v>5.2700000000000005</v>
      </c>
    </row>
    <row r="4" spans="1:25" x14ac:dyDescent="0.25">
      <c r="A4" s="1" t="s">
        <v>3</v>
      </c>
      <c r="B4" s="3">
        <v>6081</v>
      </c>
      <c r="D4">
        <f t="shared" si="0"/>
        <v>5</v>
      </c>
      <c r="E4">
        <f t="shared" si="1"/>
        <v>3680</v>
      </c>
      <c r="F4">
        <v>3</v>
      </c>
      <c r="G4">
        <v>3</v>
      </c>
      <c r="I4">
        <v>0.87</v>
      </c>
      <c r="K4">
        <v>0.01</v>
      </c>
      <c r="N4">
        <v>0.01</v>
      </c>
      <c r="Q4" s="5">
        <v>0.04</v>
      </c>
      <c r="R4">
        <v>0.49</v>
      </c>
      <c r="S4" t="s">
        <v>30</v>
      </c>
      <c r="T4">
        <v>3</v>
      </c>
      <c r="U4">
        <v>1.81</v>
      </c>
      <c r="V4">
        <v>13</v>
      </c>
      <c r="W4">
        <v>10</v>
      </c>
      <c r="Y4" s="2">
        <f>SUM(J:J)</f>
        <v>1.8100000000000003</v>
      </c>
    </row>
    <row r="5" spans="1:25" x14ac:dyDescent="0.25">
      <c r="A5" s="1" t="s">
        <v>4</v>
      </c>
      <c r="D5">
        <f t="shared" si="0"/>
        <v>5</v>
      </c>
      <c r="E5">
        <f t="shared" si="1"/>
        <v>3680</v>
      </c>
      <c r="F5">
        <v>4</v>
      </c>
      <c r="G5">
        <v>4</v>
      </c>
      <c r="N5">
        <v>0.01</v>
      </c>
      <c r="O5">
        <v>0.02</v>
      </c>
      <c r="Q5" s="5"/>
      <c r="R5">
        <v>0.17</v>
      </c>
      <c r="T5">
        <v>4</v>
      </c>
      <c r="U5">
        <v>3.53</v>
      </c>
      <c r="V5">
        <v>20</v>
      </c>
      <c r="W5">
        <v>17</v>
      </c>
      <c r="Y5" s="2">
        <f>SUM(K:K)</f>
        <v>3.53</v>
      </c>
    </row>
    <row r="6" spans="1:25" x14ac:dyDescent="0.25">
      <c r="A6" s="1" t="s">
        <v>5</v>
      </c>
      <c r="D6">
        <f t="shared" si="0"/>
        <v>5</v>
      </c>
      <c r="E6">
        <f t="shared" si="1"/>
        <v>3680</v>
      </c>
      <c r="F6">
        <v>5</v>
      </c>
      <c r="G6">
        <v>5</v>
      </c>
      <c r="I6">
        <v>0.15</v>
      </c>
      <c r="K6">
        <v>0.08</v>
      </c>
      <c r="L6">
        <v>0.12</v>
      </c>
      <c r="N6">
        <v>0.02</v>
      </c>
      <c r="R6">
        <v>1.1000000000000001</v>
      </c>
      <c r="S6">
        <v>0.26</v>
      </c>
      <c r="T6">
        <v>5</v>
      </c>
      <c r="U6">
        <v>0.82</v>
      </c>
      <c r="V6">
        <v>9</v>
      </c>
      <c r="W6">
        <v>8</v>
      </c>
      <c r="Y6" s="2">
        <f>SUM(L:L)</f>
        <v>0.82000000000000006</v>
      </c>
    </row>
    <row r="7" spans="1:25" x14ac:dyDescent="0.25">
      <c r="A7" s="1" t="s">
        <v>6</v>
      </c>
      <c r="D7">
        <f t="shared" si="0"/>
        <v>5</v>
      </c>
      <c r="E7">
        <f t="shared" si="1"/>
        <v>3680</v>
      </c>
      <c r="F7">
        <v>6</v>
      </c>
      <c r="G7">
        <v>6</v>
      </c>
      <c r="H7">
        <v>0.57999999999999996</v>
      </c>
      <c r="I7">
        <v>0.78</v>
      </c>
      <c r="K7">
        <v>7.0000000000000007E-2</v>
      </c>
      <c r="N7">
        <v>0.15</v>
      </c>
      <c r="Q7">
        <v>0.3</v>
      </c>
      <c r="R7">
        <v>0.26</v>
      </c>
      <c r="S7">
        <v>0.06</v>
      </c>
      <c r="T7">
        <v>6</v>
      </c>
      <c r="U7">
        <v>1.06</v>
      </c>
      <c r="V7">
        <v>7</v>
      </c>
      <c r="W7">
        <v>5</v>
      </c>
      <c r="Y7" s="2">
        <f>SUM(M:M)</f>
        <v>1.06</v>
      </c>
    </row>
    <row r="8" spans="1:25" x14ac:dyDescent="0.25">
      <c r="A8" s="1" t="s">
        <v>7</v>
      </c>
      <c r="D8">
        <f t="shared" si="0"/>
        <v>5</v>
      </c>
      <c r="E8">
        <f t="shared" si="1"/>
        <v>3680</v>
      </c>
      <c r="F8">
        <v>7</v>
      </c>
      <c r="G8">
        <v>7</v>
      </c>
      <c r="H8">
        <v>0.04</v>
      </c>
      <c r="I8">
        <v>0.08</v>
      </c>
      <c r="K8">
        <v>0.05</v>
      </c>
      <c r="L8">
        <v>0.02</v>
      </c>
      <c r="N8">
        <v>0.14000000000000001</v>
      </c>
      <c r="Q8">
        <v>0.75</v>
      </c>
      <c r="T8">
        <v>7</v>
      </c>
      <c r="U8">
        <v>2.83</v>
      </c>
      <c r="V8">
        <v>22</v>
      </c>
      <c r="W8">
        <v>14</v>
      </c>
      <c r="Y8" s="2">
        <f>SUM(N:N)</f>
        <v>2.8299999999999996</v>
      </c>
    </row>
    <row r="9" spans="1:25" x14ac:dyDescent="0.25">
      <c r="A9" s="1" t="s">
        <v>8</v>
      </c>
      <c r="B9" s="3">
        <v>1940</v>
      </c>
      <c r="D9">
        <f t="shared" si="0"/>
        <v>5</v>
      </c>
      <c r="E9">
        <f t="shared" si="1"/>
        <v>3680</v>
      </c>
      <c r="F9">
        <v>8</v>
      </c>
      <c r="G9">
        <v>8</v>
      </c>
      <c r="I9">
        <v>0.01</v>
      </c>
      <c r="K9">
        <v>0.16</v>
      </c>
      <c r="N9">
        <v>0.13</v>
      </c>
      <c r="O9">
        <v>0.06</v>
      </c>
      <c r="P9">
        <v>0.08</v>
      </c>
      <c r="Q9">
        <v>0.31</v>
      </c>
      <c r="R9">
        <v>0.17</v>
      </c>
      <c r="S9">
        <v>0.1</v>
      </c>
      <c r="T9">
        <v>8</v>
      </c>
      <c r="U9">
        <v>0.1</v>
      </c>
      <c r="V9">
        <v>4</v>
      </c>
      <c r="W9">
        <v>1</v>
      </c>
      <c r="Y9" s="2">
        <f>SUM(O:O)</f>
        <v>9.9999999999999992E-2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3680</v>
      </c>
      <c r="F10">
        <v>9</v>
      </c>
      <c r="G10">
        <v>9</v>
      </c>
      <c r="J10">
        <v>0.34</v>
      </c>
      <c r="K10">
        <v>7.0000000000000007E-2</v>
      </c>
      <c r="N10">
        <v>0.27</v>
      </c>
      <c r="Q10">
        <v>1.82</v>
      </c>
      <c r="R10">
        <v>0.01</v>
      </c>
      <c r="S10">
        <v>0.3</v>
      </c>
      <c r="T10">
        <v>9</v>
      </c>
      <c r="U10">
        <v>1.78</v>
      </c>
      <c r="V10">
        <v>11</v>
      </c>
      <c r="W10">
        <v>6</v>
      </c>
      <c r="Y10" s="2">
        <f>SUM(P:P)</f>
        <v>1.78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3680</v>
      </c>
      <c r="F11">
        <v>10</v>
      </c>
      <c r="G11">
        <v>10</v>
      </c>
      <c r="J11">
        <v>0.01</v>
      </c>
      <c r="M11">
        <v>0.13</v>
      </c>
      <c r="O11">
        <v>0.01</v>
      </c>
      <c r="Q11">
        <v>0.92</v>
      </c>
      <c r="R11">
        <v>0.18</v>
      </c>
      <c r="S11">
        <v>0.1</v>
      </c>
      <c r="T11">
        <v>10</v>
      </c>
      <c r="U11">
        <v>9.9700000000000006</v>
      </c>
      <c r="V11">
        <v>16</v>
      </c>
      <c r="W11">
        <v>15</v>
      </c>
      <c r="Y11" s="2">
        <f>SUM(Q:Q)</f>
        <v>9.9699999999999989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3680</v>
      </c>
      <c r="F12">
        <v>11</v>
      </c>
      <c r="G12">
        <v>11</v>
      </c>
      <c r="I12">
        <v>0.32</v>
      </c>
      <c r="M12">
        <v>0.13</v>
      </c>
      <c r="N12">
        <v>0.36</v>
      </c>
      <c r="R12">
        <v>0.44</v>
      </c>
      <c r="S12">
        <v>0.02</v>
      </c>
      <c r="T12">
        <v>11</v>
      </c>
      <c r="U12">
        <v>5.46</v>
      </c>
      <c r="V12">
        <v>17</v>
      </c>
      <c r="W12">
        <v>15</v>
      </c>
      <c r="Y12" s="2">
        <f>SUM(R:R)</f>
        <v>5.4599999999999991</v>
      </c>
    </row>
    <row r="13" spans="1:25" x14ac:dyDescent="0.25">
      <c r="A13" s="1" t="s">
        <v>12</v>
      </c>
      <c r="B13" s="3" t="s">
        <v>51</v>
      </c>
      <c r="D13">
        <f t="shared" si="0"/>
        <v>5</v>
      </c>
      <c r="E13">
        <f t="shared" si="1"/>
        <v>3680</v>
      </c>
      <c r="F13">
        <v>12</v>
      </c>
      <c r="G13">
        <v>12</v>
      </c>
      <c r="I13">
        <v>0.06</v>
      </c>
      <c r="J13">
        <v>0.21</v>
      </c>
      <c r="N13">
        <v>0.31</v>
      </c>
      <c r="P13">
        <v>0.03</v>
      </c>
      <c r="S13">
        <v>0.11</v>
      </c>
      <c r="T13">
        <v>12</v>
      </c>
      <c r="U13">
        <v>3.02</v>
      </c>
      <c r="V13">
        <v>16</v>
      </c>
      <c r="W13">
        <v>12</v>
      </c>
      <c r="Y13" s="2">
        <f>SUM(S:S)</f>
        <v>3.0199999999999996</v>
      </c>
    </row>
    <row r="14" spans="1:25" x14ac:dyDescent="0.25">
      <c r="D14">
        <f t="shared" si="0"/>
        <v>5</v>
      </c>
      <c r="E14">
        <f t="shared" si="1"/>
        <v>3680</v>
      </c>
      <c r="F14">
        <v>13</v>
      </c>
      <c r="G14">
        <v>13</v>
      </c>
      <c r="J14">
        <v>0.08</v>
      </c>
      <c r="K14">
        <v>0.08</v>
      </c>
      <c r="S14">
        <v>1.55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3680</v>
      </c>
      <c r="F15">
        <v>14</v>
      </c>
      <c r="G15">
        <v>14</v>
      </c>
      <c r="H15"/>
      <c r="I15"/>
      <c r="J15"/>
      <c r="K15"/>
      <c r="L15"/>
      <c r="M15"/>
      <c r="N15">
        <v>0.03</v>
      </c>
      <c r="O15">
        <v>0.01</v>
      </c>
      <c r="P15">
        <v>0.03</v>
      </c>
      <c r="Q15">
        <v>0.93</v>
      </c>
      <c r="R15"/>
      <c r="S15">
        <v>0.08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3680</v>
      </c>
      <c r="D16">
        <f t="shared" si="0"/>
        <v>5</v>
      </c>
      <c r="E16">
        <f t="shared" si="1"/>
        <v>3680</v>
      </c>
      <c r="F16">
        <v>15</v>
      </c>
      <c r="G16">
        <v>15</v>
      </c>
      <c r="I16">
        <v>0.04</v>
      </c>
      <c r="K16">
        <v>0.04</v>
      </c>
      <c r="M16">
        <v>0.38</v>
      </c>
      <c r="P16">
        <v>0.56999999999999995</v>
      </c>
      <c r="Q16">
        <v>0.25</v>
      </c>
      <c r="R16">
        <v>1.1000000000000001</v>
      </c>
      <c r="S16">
        <v>0.03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3680</v>
      </c>
      <c r="F17">
        <v>16</v>
      </c>
      <c r="G17">
        <v>16</v>
      </c>
      <c r="I17">
        <v>0.95</v>
      </c>
      <c r="J17">
        <v>0.35</v>
      </c>
      <c r="K17">
        <v>0.04</v>
      </c>
      <c r="N17">
        <v>0.39</v>
      </c>
      <c r="P17">
        <v>0.28000000000000003</v>
      </c>
      <c r="R17">
        <v>0.28999999999999998</v>
      </c>
      <c r="S17">
        <v>0.02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>
        <v>6081</v>
      </c>
      <c r="D18">
        <f t="shared" si="0"/>
        <v>5</v>
      </c>
      <c r="E18">
        <f t="shared" si="1"/>
        <v>3680</v>
      </c>
      <c r="F18">
        <v>17</v>
      </c>
      <c r="G18">
        <v>17</v>
      </c>
      <c r="I18">
        <v>0.24</v>
      </c>
      <c r="J18">
        <v>0.06</v>
      </c>
      <c r="N18">
        <v>0.03</v>
      </c>
      <c r="R18">
        <v>0.11</v>
      </c>
      <c r="S18">
        <v>0.02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1940</v>
      </c>
      <c r="D19">
        <f t="shared" si="0"/>
        <v>5</v>
      </c>
      <c r="E19">
        <f t="shared" si="1"/>
        <v>3680</v>
      </c>
      <c r="F19">
        <v>18</v>
      </c>
      <c r="G19">
        <v>18</v>
      </c>
      <c r="I19">
        <v>0.52</v>
      </c>
      <c r="J19">
        <v>0.1</v>
      </c>
      <c r="N19">
        <v>0.19</v>
      </c>
      <c r="P19">
        <v>0.41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3680</v>
      </c>
      <c r="F20">
        <v>19</v>
      </c>
      <c r="G20">
        <v>19</v>
      </c>
      <c r="I20">
        <v>0.05</v>
      </c>
      <c r="J20">
        <v>0.08</v>
      </c>
      <c r="K20">
        <v>0.38</v>
      </c>
      <c r="N20">
        <v>0.24</v>
      </c>
      <c r="P20">
        <v>0.01</v>
      </c>
      <c r="Q20">
        <v>1.73</v>
      </c>
      <c r="R20">
        <v>0.18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3680</v>
      </c>
      <c r="F21">
        <v>20</v>
      </c>
      <c r="G21">
        <v>20</v>
      </c>
      <c r="K21">
        <v>0.51</v>
      </c>
      <c r="N21">
        <v>0.06</v>
      </c>
      <c r="Q21">
        <v>0.73</v>
      </c>
      <c r="R21">
        <v>0.09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52</v>
      </c>
      <c r="D22">
        <f t="shared" si="0"/>
        <v>5</v>
      </c>
      <c r="E22">
        <f t="shared" si="1"/>
        <v>3680</v>
      </c>
      <c r="F22">
        <v>21</v>
      </c>
      <c r="G22">
        <v>21</v>
      </c>
      <c r="J22">
        <v>0.06</v>
      </c>
      <c r="K22">
        <v>0.28999999999999998</v>
      </c>
      <c r="L22">
        <v>0.11</v>
      </c>
      <c r="M22">
        <v>0.03</v>
      </c>
      <c r="N22">
        <v>0.09</v>
      </c>
      <c r="P22">
        <v>0.03</v>
      </c>
      <c r="Q22">
        <v>0.05</v>
      </c>
      <c r="R22">
        <v>0.26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1</v>
      </c>
      <c r="D23">
        <f t="shared" si="0"/>
        <v>5</v>
      </c>
      <c r="E23">
        <f t="shared" si="1"/>
        <v>3680</v>
      </c>
      <c r="F23">
        <v>22</v>
      </c>
      <c r="G23">
        <v>22</v>
      </c>
      <c r="I23">
        <v>0.05</v>
      </c>
      <c r="J23">
        <v>0.01</v>
      </c>
      <c r="K23">
        <v>0.48</v>
      </c>
      <c r="L23">
        <v>0.04</v>
      </c>
      <c r="M23">
        <v>0.05</v>
      </c>
      <c r="N23">
        <v>0.19</v>
      </c>
      <c r="P23">
        <v>0.13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3680</v>
      </c>
      <c r="F24">
        <v>23</v>
      </c>
      <c r="G24">
        <v>23</v>
      </c>
      <c r="H24">
        <v>0.23</v>
      </c>
      <c r="I24">
        <v>0.14000000000000001</v>
      </c>
      <c r="J24">
        <v>7.0000000000000007E-2</v>
      </c>
      <c r="K24">
        <v>0.45</v>
      </c>
      <c r="N24">
        <v>0.03</v>
      </c>
      <c r="Q24">
        <v>0.03</v>
      </c>
      <c r="R24">
        <v>0.09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>
        <v>91</v>
      </c>
      <c r="D25">
        <f t="shared" si="0"/>
        <v>5</v>
      </c>
      <c r="E25">
        <f t="shared" si="1"/>
        <v>3680</v>
      </c>
      <c r="F25">
        <v>24</v>
      </c>
      <c r="G25">
        <v>24</v>
      </c>
      <c r="H25">
        <v>0.15</v>
      </c>
      <c r="L25">
        <v>0.08</v>
      </c>
      <c r="N25">
        <v>0.01</v>
      </c>
      <c r="P25">
        <v>0.18</v>
      </c>
      <c r="Q25">
        <v>0.05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3680</v>
      </c>
      <c r="F26">
        <v>25</v>
      </c>
      <c r="G26">
        <v>25</v>
      </c>
      <c r="H26">
        <v>1.02</v>
      </c>
      <c r="K26">
        <v>0.01</v>
      </c>
      <c r="L26">
        <v>7.0000000000000007E-2</v>
      </c>
      <c r="N26">
        <v>0.06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3680</v>
      </c>
      <c r="F27">
        <v>26</v>
      </c>
      <c r="G27">
        <v>26</v>
      </c>
      <c r="H27">
        <v>1</v>
      </c>
      <c r="I27">
        <v>0.42</v>
      </c>
      <c r="K27">
        <v>0.01</v>
      </c>
      <c r="L27">
        <v>0.27</v>
      </c>
      <c r="N27">
        <v>0.1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40.409999999999997</v>
      </c>
      <c r="D28">
        <f t="shared" si="0"/>
        <v>5</v>
      </c>
      <c r="E28">
        <f t="shared" si="1"/>
        <v>3680</v>
      </c>
      <c r="F28">
        <v>27</v>
      </c>
      <c r="G28">
        <v>27</v>
      </c>
      <c r="H28">
        <v>0.91</v>
      </c>
      <c r="I28">
        <v>0.23</v>
      </c>
      <c r="L28">
        <v>7.0000000000000007E-2</v>
      </c>
      <c r="N28">
        <v>0.01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163</v>
      </c>
      <c r="D29">
        <f t="shared" si="0"/>
        <v>5</v>
      </c>
      <c r="E29">
        <f t="shared" si="1"/>
        <v>3680</v>
      </c>
      <c r="F29">
        <v>28</v>
      </c>
      <c r="G29">
        <v>28</v>
      </c>
      <c r="H29">
        <v>0.28000000000000003</v>
      </c>
      <c r="I29">
        <v>0.32</v>
      </c>
      <c r="K29">
        <v>0.11</v>
      </c>
      <c r="M29">
        <v>0.32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130</v>
      </c>
      <c r="D30">
        <f t="shared" si="0"/>
        <v>5</v>
      </c>
      <c r="E30">
        <f t="shared" si="1"/>
        <v>3680</v>
      </c>
      <c r="F30">
        <v>29</v>
      </c>
      <c r="G30">
        <v>29</v>
      </c>
      <c r="H30">
        <v>0.13</v>
      </c>
      <c r="J30">
        <v>0.41</v>
      </c>
      <c r="K30">
        <v>0.13</v>
      </c>
      <c r="Q30">
        <v>0.63</v>
      </c>
      <c r="S30">
        <v>0.05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3680</v>
      </c>
      <c r="F31">
        <v>30</v>
      </c>
      <c r="G31">
        <v>30</v>
      </c>
      <c r="K31">
        <v>0.38</v>
      </c>
      <c r="M31">
        <v>0.02</v>
      </c>
      <c r="Q31">
        <v>1.24</v>
      </c>
      <c r="S31">
        <v>7.0000000000000007E-2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3680</v>
      </c>
      <c r="F32">
        <v>31</v>
      </c>
      <c r="G32">
        <v>31</v>
      </c>
      <c r="H32">
        <v>0.42</v>
      </c>
      <c r="J32">
        <v>0.03</v>
      </c>
      <c r="L32">
        <v>0.04</v>
      </c>
      <c r="Q32">
        <v>0.19</v>
      </c>
      <c r="S32">
        <v>0.16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2018-04-08T12:48:48Z</dcterms:modified>
</cp:coreProperties>
</file>