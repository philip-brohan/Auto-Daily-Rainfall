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0" yWindow="0" windowWidth="15285" windowHeight="12120"/>
  </bookViews>
  <sheets>
    <sheet name="Form 5 template" sheetId="1" r:id="rId1"/>
  </sheets>
  <calcPr calcId="162913"/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<sst xmlns="http://schemas.openxmlformats.org/spreadsheetml/2006/main" count="150" uniqueCount="58">
  <si>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</si>
  <si>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</si>
  <si>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</si>
  <si>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</si>
  <si>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</si>
  <si>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</si>
  <si>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</si>
  <si>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</si>
  <si>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</si>
  <si>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</si>
  <si>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</si>
  <si>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</si>
  <si>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</si>
  <si>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</si>
  <si>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</si>
  <si>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</si>
  <si>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</si>
  <si>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</si>
  <si>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</si>
  <si>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</si>
  <si>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</si>
  <si>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</si>
  <si>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</si>
  <si>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</si>
  <si>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</si>
  <si>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</si>
  <si>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</si>
  <si>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</si>
  <si>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</si>
  <si>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</si>
  <si>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</si>
  <si>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</si>
  <si>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</si>
  <si>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</si>
  <si>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</si>
  <si>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</si>
  <si>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</si>
  <si>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</si>
  <si>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</si>
  <si>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</si>
  <si>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</si>
  <si>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</si>
  <si>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</si>
  <si>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</si>
  <si>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</si>
  <si>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</si>
  <si>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</si>
  <si>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</si>
  <si>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</si>
  <si>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Pilltown (Bessborough)</t>
  </si>
  <si>
    <t>6070/5</t>
  </si>
  <si>
    <t>Good Quality</t>
  </si>
  <si>
    <t>Kilkenny</t>
  </si>
  <si>
    <t>8inch</t>
  </si>
  <si>
    <t>60ft</t>
  </si>
  <si>
    <t>S.K. Turner</t>
  </si>
  <si>
    <t>multiday sum recorded on (Nov.1 and 2)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</si>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</sst>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18" fillId="0" borderId="0" xfId="0" applyFont="1"/>
    <xf numFmtId="0" fontId="18" fillId="0" borderId="0" xfId="0" applyFont="1" applyFill="1" applyAlignment="1">
      <alignment horizontal="right"/>
    </xf>
    <xf numFmtId="0" fontId="18" fillId="0" borderId="0" xfId="0" applyFon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topLeftCell="A6" zoomScale="70" zoomScaleNormal="70" workbookViewId="0">
      <selection activeCell="U27" sqref="U27"/>
    </sheetView>
  </sheetViews>
  <sheetFormatPr defaultRowHeight="15" x14ac:dyDescent="0.25"/>
  <cols>
    <col min="1" max="1" width="22.7109375" customWidth="1"/>
    <col min="2" max="2" width="14.85546875" style="3" customWidth="1"/>
  </cols>
  <sheetData>
    <row r="1" spans="1:25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5">
      <c r="A2" s="1" t="s">
        <v>1</v>
      </c>
      <c r="B2" s="3">
        <v>3614</v>
      </c>
      <c r="D2">
        <f>($B$1)</f>
        <v>5</v>
      </c>
      <c r="E2">
        <f>($B$2)</f>
        <v>3614</v>
      </c>
      <c r="F2">
        <v>1</v>
      </c>
      <c r="G2">
        <v>1</v>
      </c>
      <c r="I2" s="5">
        <v>0.04</v>
      </c>
      <c r="J2" s="5"/>
      <c r="K2" s="5">
        <v>7.0000000000000007E-2</v>
      </c>
      <c r="L2" s="5"/>
      <c r="M2" s="5"/>
      <c r="N2" s="5"/>
      <c r="O2" s="5"/>
      <c r="P2" s="5"/>
      <c r="Q2" s="5"/>
      <c r="R2" s="5"/>
      <c r="S2" s="5">
        <v>0.04</v>
      </c>
      <c r="T2">
        <v>1</v>
      </c>
      <c r="U2">
        <v>4.3</v>
      </c>
      <c r="V2">
        <v>15</v>
      </c>
      <c r="W2">
        <v>10</v>
      </c>
      <c r="Y2" s="2">
        <f>SUM(H2:H32)</f>
        <v>4.3</v>
      </c>
    </row>
    <row r="3" spans="1:25" x14ac:dyDescent="0.25">
      <c r="A3" s="1" t="s">
        <v>2</v>
      </c>
      <c r="B3" t="s">
        <v>49</v>
      </c>
      <c r="D3">
        <f t="shared" ref="D3:D32" si="0">($B$1)</f>
        <v>5</v>
      </c>
      <c r="E3">
        <f t="shared" ref="E3:E32" si="1">($B$2)</f>
        <v>3614</v>
      </c>
      <c r="F3">
        <v>2</v>
      </c>
      <c r="G3">
        <v>2</v>
      </c>
      <c r="I3" s="5">
        <v>0.08</v>
      </c>
      <c r="J3" s="5"/>
      <c r="K3" s="5">
        <v>0.12</v>
      </c>
      <c r="L3" s="5"/>
      <c r="M3" s="5"/>
      <c r="N3" s="5">
        <v>0.02</v>
      </c>
      <c r="O3" s="5"/>
      <c r="P3" s="5"/>
      <c r="Q3" s="5"/>
      <c r="R3" s="5">
        <v>0.75</v>
      </c>
      <c r="S3" s="5">
        <v>0.28000000000000003</v>
      </c>
      <c r="T3">
        <v>2</v>
      </c>
      <c r="U3">
        <v>6.84</v>
      </c>
      <c r="V3">
        <v>17</v>
      </c>
      <c r="W3">
        <v>15</v>
      </c>
      <c r="Y3" s="2">
        <f>SUM(I:I)</f>
        <v>6.84</v>
      </c>
    </row>
    <row r="4" spans="1:25" x14ac:dyDescent="0.25">
      <c r="A4" s="1" t="s">
        <v>3</v>
      </c>
      <c r="B4" s="3" t="s">
        <v>50</v>
      </c>
      <c r="D4">
        <f t="shared" si="0"/>
        <v>5</v>
      </c>
      <c r="E4">
        <f t="shared" si="1"/>
        <v>3614</v>
      </c>
      <c r="F4">
        <v>3</v>
      </c>
      <c r="G4">
        <v>3</v>
      </c>
      <c r="I4" s="5">
        <v>1.05</v>
      </c>
      <c r="J4" s="5"/>
      <c r="K4" s="5"/>
      <c r="L4" s="5"/>
      <c r="M4" s="5"/>
      <c r="N4" s="5"/>
      <c r="O4" s="5"/>
      <c r="P4" s="5"/>
      <c r="Q4" s="5">
        <v>0.05</v>
      </c>
      <c r="R4" s="5">
        <v>0.18</v>
      </c>
      <c r="S4" s="5">
        <v>0.01</v>
      </c>
      <c r="T4">
        <v>3</v>
      </c>
      <c r="U4">
        <v>2.11</v>
      </c>
      <c r="V4">
        <v>17</v>
      </c>
      <c r="W4">
        <v>12</v>
      </c>
      <c r="Y4" s="2">
        <f>SUM(J:J)</f>
        <v>2.1100000000000003</v>
      </c>
    </row>
    <row r="5" spans="1:25" x14ac:dyDescent="0.25">
      <c r="A5" s="1" t="s">
        <v>4</v>
      </c>
      <c r="B5" s="3" t="s">
        <v>48</v>
      </c>
      <c r="D5">
        <f t="shared" si="0"/>
        <v>5</v>
      </c>
      <c r="E5">
        <f t="shared" si="1"/>
        <v>3614</v>
      </c>
      <c r="F5">
        <v>4</v>
      </c>
      <c r="G5">
        <v>4</v>
      </c>
      <c r="I5" s="5">
        <v>0.04</v>
      </c>
      <c r="J5" s="5"/>
      <c r="K5" s="5"/>
      <c r="L5" s="5"/>
      <c r="M5" s="5"/>
      <c r="N5" s="5">
        <v>0.03</v>
      </c>
      <c r="O5" s="5">
        <v>0.03</v>
      </c>
      <c r="P5" s="5">
        <v>0.02</v>
      </c>
      <c r="Q5" s="5">
        <v>0.01</v>
      </c>
      <c r="R5" s="5">
        <v>0.3</v>
      </c>
      <c r="S5" s="5">
        <v>0.05</v>
      </c>
      <c r="T5">
        <v>4</v>
      </c>
      <c r="U5">
        <v>2.99</v>
      </c>
      <c r="V5">
        <v>17</v>
      </c>
      <c r="W5">
        <v>14</v>
      </c>
      <c r="Y5" s="2">
        <f>SUM(K:K)</f>
        <v>2.9899999999999998</v>
      </c>
    </row>
    <row r="6" spans="1:25" x14ac:dyDescent="0.25">
      <c r="A6" s="1" t="s">
        <v>5</v>
      </c>
      <c r="B6" s="3" t="s">
        <v>48</v>
      </c>
      <c r="D6">
        <f t="shared" si="0"/>
        <v>5</v>
      </c>
      <c r="E6">
        <f t="shared" si="1"/>
        <v>3614</v>
      </c>
      <c r="F6">
        <v>5</v>
      </c>
      <c r="G6">
        <v>5</v>
      </c>
      <c r="H6">
        <v>0.1</v>
      </c>
      <c r="I6" s="5"/>
      <c r="J6" s="5"/>
      <c r="K6" s="5">
        <v>0.16</v>
      </c>
      <c r="L6" s="5">
        <v>0.28999999999999998</v>
      </c>
      <c r="M6" s="5"/>
      <c r="N6" s="5">
        <v>0.03</v>
      </c>
      <c r="O6" s="5"/>
      <c r="P6" s="5"/>
      <c r="Q6" s="5">
        <v>0.7</v>
      </c>
      <c r="R6" s="5">
        <v>0.69</v>
      </c>
      <c r="S6" s="5">
        <v>0.26</v>
      </c>
      <c r="T6">
        <v>5</v>
      </c>
      <c r="U6">
        <v>2.14</v>
      </c>
      <c r="V6">
        <v>9</v>
      </c>
      <c r="W6">
        <v>7</v>
      </c>
      <c r="Y6" s="2">
        <f>SUM(L:L)</f>
        <v>2.1399999999999997</v>
      </c>
    </row>
    <row r="7" spans="1:25" x14ac:dyDescent="0.25">
      <c r="A7" s="1" t="s">
        <v>6</v>
      </c>
      <c r="B7" s="3" t="s">
        <v>48</v>
      </c>
      <c r="D7">
        <f t="shared" si="0"/>
        <v>5</v>
      </c>
      <c r="E7">
        <f t="shared" si="1"/>
        <v>3614</v>
      </c>
      <c r="F7">
        <v>6</v>
      </c>
      <c r="G7">
        <v>6</v>
      </c>
      <c r="H7">
        <v>0.62</v>
      </c>
      <c r="I7" s="5">
        <v>1.23</v>
      </c>
      <c r="J7" s="5"/>
      <c r="K7" s="5">
        <v>0.13</v>
      </c>
      <c r="L7" s="5"/>
      <c r="M7" s="5"/>
      <c r="N7" s="5">
        <v>0.06</v>
      </c>
      <c r="O7" s="5"/>
      <c r="P7" s="5"/>
      <c r="Q7" s="5">
        <v>0.64</v>
      </c>
      <c r="R7" s="5">
        <v>0.03</v>
      </c>
      <c r="S7" s="5">
        <v>0.45</v>
      </c>
      <c r="T7">
        <v>6</v>
      </c>
      <c r="U7">
        <v>1.42</v>
      </c>
      <c r="V7">
        <v>10</v>
      </c>
      <c r="W7">
        <v>7</v>
      </c>
      <c r="Y7" s="2">
        <f>SUM(M:M)</f>
        <v>1.42</v>
      </c>
    </row>
    <row r="8" spans="1:25" x14ac:dyDescent="0.25">
      <c r="A8" s="1" t="s">
        <v>7</v>
      </c>
      <c r="B8" s="3" t="s">
        <v>48</v>
      </c>
      <c r="D8">
        <f t="shared" si="0"/>
        <v>5</v>
      </c>
      <c r="E8">
        <f t="shared" si="1"/>
        <v>3614</v>
      </c>
      <c r="F8">
        <v>7</v>
      </c>
      <c r="G8">
        <v>7</v>
      </c>
      <c r="H8">
        <v>0.01</v>
      </c>
      <c r="I8" s="5">
        <v>7.0000000000000007E-2</v>
      </c>
      <c r="J8" s="5"/>
      <c r="K8" s="5"/>
      <c r="L8" s="5"/>
      <c r="M8" s="5"/>
      <c r="N8" s="5">
        <v>0.2</v>
      </c>
      <c r="O8" s="5"/>
      <c r="P8" s="5"/>
      <c r="Q8" s="5">
        <v>0.11</v>
      </c>
      <c r="R8" s="5"/>
      <c r="S8" s="5">
        <v>0.02</v>
      </c>
      <c r="T8">
        <v>7</v>
      </c>
      <c r="U8">
        <v>2.91</v>
      </c>
      <c r="V8">
        <v>19</v>
      </c>
      <c r="W8">
        <v>15</v>
      </c>
      <c r="Y8" s="2">
        <f>SUM(N:N)</f>
        <v>2.9099999999999997</v>
      </c>
    </row>
    <row r="9" spans="1:25" x14ac:dyDescent="0.25">
      <c r="A9" s="1" t="s">
        <v>8</v>
      </c>
      <c r="B9" s="3">
        <v>1940</v>
      </c>
      <c r="D9">
        <f t="shared" si="0"/>
        <v>5</v>
      </c>
      <c r="E9">
        <f t="shared" si="1"/>
        <v>3614</v>
      </c>
      <c r="F9">
        <v>8</v>
      </c>
      <c r="G9">
        <v>8</v>
      </c>
      <c r="H9">
        <v>0.03</v>
      </c>
      <c r="I9" s="5"/>
      <c r="J9" s="5"/>
      <c r="K9" s="5">
        <v>0.03</v>
      </c>
      <c r="L9" s="5"/>
      <c r="M9" s="5"/>
      <c r="N9" s="5">
        <v>0.19</v>
      </c>
      <c r="O9" s="5"/>
      <c r="P9" s="5"/>
      <c r="Q9" s="5">
        <v>0.92</v>
      </c>
      <c r="R9" s="5">
        <v>1.22</v>
      </c>
      <c r="S9" s="5">
        <v>0.13</v>
      </c>
      <c r="T9">
        <v>8</v>
      </c>
      <c r="U9">
        <v>0.13</v>
      </c>
      <c r="V9">
        <v>6</v>
      </c>
      <c r="W9">
        <v>0</v>
      </c>
      <c r="Y9" s="2">
        <f>SUM(O:O)</f>
        <v>0.13</v>
      </c>
    </row>
    <row r="10" spans="1:25" x14ac:dyDescent="0.25">
      <c r="A10" s="1" t="s">
        <v>9</v>
      </c>
      <c r="B10" s="3">
        <v>1</v>
      </c>
      <c r="D10">
        <f t="shared" si="0"/>
        <v>5</v>
      </c>
      <c r="E10">
        <f t="shared" si="1"/>
        <v>3614</v>
      </c>
      <c r="F10">
        <v>9</v>
      </c>
      <c r="G10">
        <v>9</v>
      </c>
      <c r="H10">
        <v>0.01</v>
      </c>
      <c r="I10" s="5"/>
      <c r="J10" s="5"/>
      <c r="K10" s="5"/>
      <c r="L10" s="5"/>
      <c r="M10" s="5"/>
      <c r="N10" s="5">
        <v>0.11</v>
      </c>
      <c r="O10" s="5">
        <v>0.02</v>
      </c>
      <c r="P10" s="5">
        <v>7.0000000000000007E-2</v>
      </c>
      <c r="Q10" s="5">
        <v>0.26</v>
      </c>
      <c r="R10" s="5"/>
      <c r="S10" s="5">
        <v>0.33</v>
      </c>
      <c r="T10">
        <v>9</v>
      </c>
      <c r="U10">
        <v>1.39</v>
      </c>
      <c r="V10">
        <v>11</v>
      </c>
      <c r="W10">
        <v>7</v>
      </c>
      <c r="Y10" s="2">
        <f>SUM(P:P)</f>
        <v>1.3900000000000003</v>
      </c>
    </row>
    <row r="11" spans="1:25" x14ac:dyDescent="0.25">
      <c r="A11" s="1" t="s">
        <v>10</v>
      </c>
      <c r="B11" s="3">
        <v>1</v>
      </c>
      <c r="D11">
        <f t="shared" si="0"/>
        <v>5</v>
      </c>
      <c r="E11">
        <f t="shared" si="1"/>
        <v>3614</v>
      </c>
      <c r="F11">
        <v>10</v>
      </c>
      <c r="G11">
        <v>10</v>
      </c>
      <c r="I11" s="5">
        <v>0.38</v>
      </c>
      <c r="J11" s="5">
        <v>0.01</v>
      </c>
      <c r="K11" s="5"/>
      <c r="L11" s="5"/>
      <c r="M11" s="5"/>
      <c r="N11" s="5">
        <v>0.66</v>
      </c>
      <c r="O11" s="5">
        <v>0.03</v>
      </c>
      <c r="P11" s="5"/>
      <c r="Q11" s="5">
        <v>0.04</v>
      </c>
      <c r="R11" s="5">
        <v>0.13</v>
      </c>
      <c r="S11" s="5">
        <v>7.0000000000000007E-2</v>
      </c>
      <c r="T11">
        <v>10</v>
      </c>
      <c r="U11">
        <v>7.69</v>
      </c>
      <c r="V11">
        <v>24</v>
      </c>
      <c r="W11">
        <v>17</v>
      </c>
      <c r="Y11" s="2">
        <f>SUM(Q:Q)</f>
        <v>7.6899999999999986</v>
      </c>
    </row>
    <row r="12" spans="1:25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3614</v>
      </c>
      <c r="F12">
        <v>11</v>
      </c>
      <c r="G12">
        <v>11</v>
      </c>
      <c r="I12" s="5"/>
      <c r="J12" s="5">
        <v>0.13</v>
      </c>
      <c r="K12" s="5">
        <v>0.04</v>
      </c>
      <c r="L12" s="5"/>
      <c r="M12" s="5">
        <v>0.28000000000000003</v>
      </c>
      <c r="N12" s="5">
        <v>0.11</v>
      </c>
      <c r="O12" s="5"/>
      <c r="P12" s="5"/>
      <c r="Q12" s="5">
        <v>0.03</v>
      </c>
      <c r="R12" s="5">
        <v>0.25</v>
      </c>
      <c r="S12" s="5"/>
      <c r="T12">
        <v>11</v>
      </c>
      <c r="U12">
        <v>5.63</v>
      </c>
      <c r="V12">
        <v>17</v>
      </c>
      <c r="W12">
        <v>14</v>
      </c>
      <c r="Y12" s="2">
        <f>SUM(R:R)</f>
        <v>5.629999999999999</v>
      </c>
    </row>
    <row r="13" spans="1:25" x14ac:dyDescent="0.25">
      <c r="A13" s="1" t="s">
        <v>12</v>
      </c>
      <c r="B13" s="3" t="s">
        <v>51</v>
      </c>
      <c r="D13">
        <f t="shared" si="0"/>
        <v>5</v>
      </c>
      <c r="E13">
        <f t="shared" si="1"/>
        <v>3614</v>
      </c>
      <c r="F13">
        <v>12</v>
      </c>
      <c r="G13">
        <v>12</v>
      </c>
      <c r="I13" s="5"/>
      <c r="J13" s="5">
        <v>0.36</v>
      </c>
      <c r="K13" s="5"/>
      <c r="L13" s="5"/>
      <c r="M13" s="5">
        <v>0.05</v>
      </c>
      <c r="N13" s="5">
        <v>0.15</v>
      </c>
      <c r="O13" s="5"/>
      <c r="P13" s="5">
        <v>0.02</v>
      </c>
      <c r="Q13" s="5">
        <v>0.04</v>
      </c>
      <c r="R13" s="5">
        <v>0.12</v>
      </c>
      <c r="S13" s="5">
        <v>0.3</v>
      </c>
      <c r="T13">
        <v>12</v>
      </c>
      <c r="U13">
        <v>4.3099999999999996</v>
      </c>
      <c r="V13">
        <v>21</v>
      </c>
      <c r="W13">
        <v>16</v>
      </c>
      <c r="Y13" s="2">
        <f>SUM(S:S)</f>
        <v>4.3099999999999996</v>
      </c>
    </row>
    <row r="14" spans="1:25" x14ac:dyDescent="0.25">
      <c r="B14" t="s">
        <v>56</v>
      </c>
      <c r="D14">
        <f t="shared" si="0"/>
        <v>5</v>
      </c>
      <c r="E14">
        <f t="shared" si="1"/>
        <v>3614</v>
      </c>
      <c r="F14">
        <v>13</v>
      </c>
      <c r="G14">
        <v>13</v>
      </c>
      <c r="I14" s="5"/>
      <c r="J14" s="5">
        <v>0.03</v>
      </c>
      <c r="K14" s="5"/>
      <c r="L14" s="5"/>
      <c r="M14" s="5"/>
      <c r="N14" s="5"/>
      <c r="O14" s="5"/>
      <c r="P14" s="5">
        <v>0.17</v>
      </c>
      <c r="Q14" s="5">
        <v>0.35</v>
      </c>
      <c r="R14" s="5"/>
      <c r="S14" s="5">
        <v>1.4</v>
      </c>
      <c r="T14" t="s">
        <v>30</v>
      </c>
      <c r="U14" t="s">
        <v>30</v>
      </c>
      <c r="W14" t="s">
        <v>30</v>
      </c>
    </row>
    <row r="15" spans="1:25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3614</v>
      </c>
      <c r="F15">
        <v>14</v>
      </c>
      <c r="G15">
        <v>14</v>
      </c>
      <c r="H15"/>
      <c r="I15" s="5"/>
      <c r="J15" s="5"/>
      <c r="K15" s="5">
        <v>0.02</v>
      </c>
      <c r="L15" s="5"/>
      <c r="M15" s="5">
        <v>0.02</v>
      </c>
      <c r="N15" s="5">
        <v>0.12</v>
      </c>
      <c r="O15" s="5">
        <v>0.01</v>
      </c>
      <c r="P15" s="5"/>
      <c r="Q15" s="5">
        <v>0.26</v>
      </c>
      <c r="R15" s="5"/>
      <c r="S15" s="5">
        <v>0.19</v>
      </c>
      <c r="T15" t="s">
        <v>30</v>
      </c>
      <c r="U15" t="s">
        <v>30</v>
      </c>
      <c r="V15" t="s">
        <v>30</v>
      </c>
      <c r="W15" t="s">
        <v>30</v>
      </c>
    </row>
    <row r="16" spans="1:25" x14ac:dyDescent="0.25">
      <c r="A16" s="1" t="s">
        <v>13</v>
      </c>
      <c r="B16" s="3">
        <v>3614</v>
      </c>
      <c r="D16">
        <f t="shared" si="0"/>
        <v>5</v>
      </c>
      <c r="E16">
        <f t="shared" si="1"/>
        <v>3614</v>
      </c>
      <c r="F16">
        <v>15</v>
      </c>
      <c r="G16">
        <v>15</v>
      </c>
      <c r="H16">
        <v>0.02</v>
      </c>
      <c r="I16" s="5">
        <v>0.7</v>
      </c>
      <c r="J16" s="5">
        <v>0.01</v>
      </c>
      <c r="K16" s="5"/>
      <c r="L16" s="5"/>
      <c r="M16" s="5">
        <v>0.04</v>
      </c>
      <c r="N16" s="5">
        <v>0.24</v>
      </c>
      <c r="O16" s="5"/>
      <c r="P16" s="5">
        <v>0.48</v>
      </c>
      <c r="Q16" s="5">
        <v>0.05</v>
      </c>
      <c r="R16" s="5">
        <v>0.45</v>
      </c>
      <c r="S16" s="5">
        <v>7.0000000000000007E-2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3614</v>
      </c>
      <c r="F17">
        <v>16</v>
      </c>
      <c r="G17">
        <v>16</v>
      </c>
      <c r="I17" s="5">
        <v>1.57</v>
      </c>
      <c r="J17" s="5">
        <v>0.36</v>
      </c>
      <c r="K17" s="5">
        <v>0.09</v>
      </c>
      <c r="L17" s="5"/>
      <c r="M17" s="5"/>
      <c r="N17" s="5">
        <v>0.14000000000000001</v>
      </c>
      <c r="O17" s="5"/>
      <c r="P17" s="5">
        <v>0.4</v>
      </c>
      <c r="Q17" s="5"/>
      <c r="R17" s="5"/>
      <c r="S17" s="5">
        <v>0.06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 t="s">
        <v>50</v>
      </c>
      <c r="D18">
        <f t="shared" si="0"/>
        <v>5</v>
      </c>
      <c r="E18">
        <f t="shared" si="1"/>
        <v>3614</v>
      </c>
      <c r="F18">
        <v>17</v>
      </c>
      <c r="G18">
        <v>17</v>
      </c>
      <c r="I18" s="5">
        <v>0.24</v>
      </c>
      <c r="J18" s="5">
        <v>0.23</v>
      </c>
      <c r="K18" s="5">
        <v>0.04</v>
      </c>
      <c r="L18" s="5"/>
      <c r="M18" s="5"/>
      <c r="N18" s="5">
        <v>0.03</v>
      </c>
      <c r="O18" s="5"/>
      <c r="P18" s="5">
        <v>0.04</v>
      </c>
      <c r="Q18" s="5"/>
      <c r="R18" s="5">
        <v>0.02</v>
      </c>
      <c r="S18" s="5">
        <v>0.01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1940</v>
      </c>
      <c r="D19">
        <f t="shared" si="0"/>
        <v>5</v>
      </c>
      <c r="E19">
        <f t="shared" si="1"/>
        <v>3614</v>
      </c>
      <c r="F19">
        <v>18</v>
      </c>
      <c r="G19">
        <v>18</v>
      </c>
      <c r="I19" s="5">
        <v>0.42</v>
      </c>
      <c r="J19" s="5">
        <v>7.0000000000000007E-2</v>
      </c>
      <c r="K19" s="5"/>
      <c r="L19" s="5"/>
      <c r="M19" s="5"/>
      <c r="N19" s="5">
        <v>0.23</v>
      </c>
      <c r="O19" s="5">
        <v>0.03</v>
      </c>
      <c r="P19" s="5">
        <v>0.11</v>
      </c>
      <c r="Q19" s="5">
        <v>0.04</v>
      </c>
      <c r="R19" s="5"/>
      <c r="S19" s="5">
        <v>0.04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t="s">
        <v>49</v>
      </c>
      <c r="D20">
        <f t="shared" si="0"/>
        <v>5</v>
      </c>
      <c r="E20">
        <f t="shared" si="1"/>
        <v>3614</v>
      </c>
      <c r="F20">
        <v>19</v>
      </c>
      <c r="G20">
        <v>19</v>
      </c>
      <c r="I20" s="5">
        <v>0.06</v>
      </c>
      <c r="J20" s="5">
        <v>0.04</v>
      </c>
      <c r="K20" s="5">
        <v>0.38</v>
      </c>
      <c r="L20" s="5"/>
      <c r="M20" s="5"/>
      <c r="N20" s="5">
        <v>0.15</v>
      </c>
      <c r="O20" s="5"/>
      <c r="P20" s="5">
        <v>0.01</v>
      </c>
      <c r="Q20" s="5">
        <v>1.25</v>
      </c>
      <c r="R20" s="5">
        <v>0.24</v>
      </c>
      <c r="S20" s="5"/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t="s">
        <v>52</v>
      </c>
      <c r="D21">
        <f t="shared" si="0"/>
        <v>5</v>
      </c>
      <c r="E21">
        <f t="shared" si="1"/>
        <v>3614</v>
      </c>
      <c r="F21">
        <v>20</v>
      </c>
      <c r="G21">
        <v>20</v>
      </c>
      <c r="I21" s="5"/>
      <c r="J21" s="5">
        <v>0.04</v>
      </c>
      <c r="K21" s="5">
        <v>0.41</v>
      </c>
      <c r="L21" s="5"/>
      <c r="M21" s="5"/>
      <c r="N21" s="5">
        <v>0.08</v>
      </c>
      <c r="O21" s="5"/>
      <c r="P21" s="5"/>
      <c r="Q21" s="5">
        <v>0.03</v>
      </c>
      <c r="R21" s="5">
        <v>0.17</v>
      </c>
      <c r="S21" s="5"/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B22" s="3" t="s">
        <v>53</v>
      </c>
      <c r="D22">
        <f t="shared" si="0"/>
        <v>5</v>
      </c>
      <c r="E22">
        <f t="shared" si="1"/>
        <v>3614</v>
      </c>
      <c r="F22">
        <v>21</v>
      </c>
      <c r="G22">
        <v>21</v>
      </c>
      <c r="I22" s="5"/>
      <c r="J22" s="5">
        <v>0.03</v>
      </c>
      <c r="K22" s="5">
        <v>0.28999999999999998</v>
      </c>
      <c r="L22" s="5">
        <v>0.01</v>
      </c>
      <c r="M22" s="5">
        <v>0.14000000000000001</v>
      </c>
      <c r="N22" s="5"/>
      <c r="O22" s="5">
        <v>0.01</v>
      </c>
      <c r="P22" s="5">
        <v>0.06</v>
      </c>
      <c r="Q22" s="5">
        <v>0.64</v>
      </c>
      <c r="R22" s="5">
        <v>1.01</v>
      </c>
      <c r="S22" s="5"/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B23" s="3">
        <v>3</v>
      </c>
      <c r="D23">
        <f t="shared" si="0"/>
        <v>5</v>
      </c>
      <c r="E23">
        <f t="shared" si="1"/>
        <v>3614</v>
      </c>
      <c r="F23">
        <v>22</v>
      </c>
      <c r="G23">
        <v>22</v>
      </c>
      <c r="I23" s="5">
        <v>0.03</v>
      </c>
      <c r="J23" s="5">
        <v>0.08</v>
      </c>
      <c r="K23" s="5">
        <v>0.64</v>
      </c>
      <c r="L23" s="5"/>
      <c r="M23" s="5">
        <v>0.18</v>
      </c>
      <c r="N23" s="5"/>
      <c r="O23" s="5"/>
      <c r="P23" s="5">
        <v>0.01</v>
      </c>
      <c r="Q23" s="5">
        <v>0.01</v>
      </c>
      <c r="R23" s="5"/>
      <c r="S23" s="5"/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B24" s="3">
        <v>7</v>
      </c>
      <c r="D24">
        <f t="shared" si="0"/>
        <v>5</v>
      </c>
      <c r="E24">
        <f t="shared" si="1"/>
        <v>3614</v>
      </c>
      <c r="F24">
        <v>23</v>
      </c>
      <c r="G24">
        <v>23</v>
      </c>
      <c r="H24">
        <v>0.5</v>
      </c>
      <c r="I24" s="5"/>
      <c r="J24" s="5">
        <v>0.22</v>
      </c>
      <c r="K24" s="5"/>
      <c r="L24" s="5"/>
      <c r="M24" s="5"/>
      <c r="N24" s="5"/>
      <c r="O24" s="5"/>
      <c r="P24" s="5"/>
      <c r="Q24" s="5">
        <v>0.01</v>
      </c>
      <c r="R24" s="5">
        <v>0.06</v>
      </c>
      <c r="S24" s="5"/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 t="s">
        <v>54</v>
      </c>
      <c r="D25">
        <f t="shared" si="0"/>
        <v>5</v>
      </c>
      <c r="E25">
        <f t="shared" si="1"/>
        <v>3614</v>
      </c>
      <c r="F25">
        <v>24</v>
      </c>
      <c r="G25">
        <v>24</v>
      </c>
      <c r="H25">
        <v>0.21</v>
      </c>
      <c r="I25" s="5"/>
      <c r="J25" s="5"/>
      <c r="K25" s="5">
        <v>0.02</v>
      </c>
      <c r="L25" s="5">
        <v>0.43</v>
      </c>
      <c r="M25" s="5">
        <v>0.01</v>
      </c>
      <c r="N25" s="5"/>
      <c r="O25" s="5"/>
      <c r="P25" s="5"/>
      <c r="Q25" s="5"/>
      <c r="R25" s="5"/>
      <c r="S25" s="5"/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3" t="s">
        <v>48</v>
      </c>
      <c r="D26">
        <f t="shared" si="0"/>
        <v>5</v>
      </c>
      <c r="E26">
        <f t="shared" si="1"/>
        <v>3614</v>
      </c>
      <c r="F26">
        <v>25</v>
      </c>
      <c r="G26">
        <v>25</v>
      </c>
      <c r="H26">
        <v>1.68</v>
      </c>
      <c r="I26" s="5">
        <v>0.17</v>
      </c>
      <c r="J26" s="5"/>
      <c r="K26" s="5"/>
      <c r="L26" s="5">
        <v>0.35</v>
      </c>
      <c r="M26" s="5">
        <v>0.08</v>
      </c>
      <c r="N26" s="5">
        <v>0.06</v>
      </c>
      <c r="O26" s="5"/>
      <c r="P26" s="5"/>
      <c r="Q26" s="5">
        <v>0.03</v>
      </c>
      <c r="R26" s="7"/>
      <c r="S26" s="7"/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D27">
        <f t="shared" si="0"/>
        <v>5</v>
      </c>
      <c r="E27">
        <f t="shared" si="1"/>
        <v>3614</v>
      </c>
      <c r="F27">
        <v>26</v>
      </c>
      <c r="G27">
        <v>26</v>
      </c>
      <c r="H27">
        <v>0.23</v>
      </c>
      <c r="I27" s="5">
        <v>0.52</v>
      </c>
      <c r="J27" s="5"/>
      <c r="K27" s="5"/>
      <c r="L27" s="5">
        <v>0.15</v>
      </c>
      <c r="M27" s="5"/>
      <c r="N27" s="5">
        <v>0.3</v>
      </c>
      <c r="O27" s="5"/>
      <c r="P27" s="5"/>
      <c r="Q27" s="5"/>
      <c r="R27" s="7">
        <v>0.01</v>
      </c>
      <c r="S27" s="7">
        <v>0.03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>
        <v>41.86</v>
      </c>
      <c r="D28">
        <f t="shared" si="0"/>
        <v>5</v>
      </c>
      <c r="E28">
        <f t="shared" si="1"/>
        <v>3614</v>
      </c>
      <c r="F28">
        <v>27</v>
      </c>
      <c r="G28">
        <v>27</v>
      </c>
      <c r="H28">
        <v>0.2</v>
      </c>
      <c r="I28" s="5">
        <v>0.23</v>
      </c>
      <c r="J28" s="5">
        <v>0.01</v>
      </c>
      <c r="K28" s="5">
        <v>0.06</v>
      </c>
      <c r="L28" s="5">
        <v>0.05</v>
      </c>
      <c r="M28" s="5">
        <v>0.01</v>
      </c>
      <c r="N28" s="5"/>
      <c r="O28" s="5"/>
      <c r="P28" s="5"/>
      <c r="Q28" s="5"/>
      <c r="R28" s="7"/>
      <c r="S28" s="7"/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B29" s="6">
        <v>183</v>
      </c>
      <c r="D29">
        <f t="shared" si="0"/>
        <v>5</v>
      </c>
      <c r="E29">
        <f t="shared" si="1"/>
        <v>3614</v>
      </c>
      <c r="F29">
        <v>28</v>
      </c>
      <c r="G29">
        <v>28</v>
      </c>
      <c r="H29">
        <v>0.54</v>
      </c>
      <c r="I29" s="5">
        <v>0.01</v>
      </c>
      <c r="J29" s="5">
        <v>0.16</v>
      </c>
      <c r="K29" s="5">
        <v>0.34</v>
      </c>
      <c r="L29" s="5">
        <v>0.82</v>
      </c>
      <c r="M29" s="5">
        <v>0.61</v>
      </c>
      <c r="N29" s="5"/>
      <c r="O29" s="5"/>
      <c r="P29" s="5"/>
      <c r="Q29" s="5">
        <v>0.02</v>
      </c>
      <c r="R29" s="7"/>
      <c r="S29" s="7"/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B30" s="6">
        <v>134</v>
      </c>
      <c r="D30">
        <f t="shared" si="0"/>
        <v>5</v>
      </c>
      <c r="E30">
        <f t="shared" si="1"/>
        <v>3614</v>
      </c>
      <c r="F30">
        <v>29</v>
      </c>
      <c r="G30">
        <v>29</v>
      </c>
      <c r="H30">
        <v>0.04</v>
      </c>
      <c r="I30" s="5"/>
      <c r="J30" s="5"/>
      <c r="K30" s="5"/>
      <c r="L30" s="5">
        <v>0.01</v>
      </c>
      <c r="M30" s="5"/>
      <c r="N30" s="5"/>
      <c r="O30" s="5"/>
      <c r="P30" s="5"/>
      <c r="Q30" s="5">
        <v>0.81</v>
      </c>
      <c r="R30" s="7"/>
      <c r="S30" s="7">
        <v>0.42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t="s">
        <v>55</v>
      </c>
      <c r="D31">
        <f t="shared" si="0"/>
        <v>5</v>
      </c>
      <c r="E31">
        <f t="shared" si="1"/>
        <v>3614</v>
      </c>
      <c r="F31">
        <v>30</v>
      </c>
      <c r="G31">
        <v>30</v>
      </c>
      <c r="H31">
        <v>0.02</v>
      </c>
      <c r="I31" s="5"/>
      <c r="J31" s="5">
        <v>0.11</v>
      </c>
      <c r="K31" s="5">
        <v>0.15</v>
      </c>
      <c r="L31" s="5" t="s">
        <v>57</v>
      </c>
      <c r="M31" s="5"/>
      <c r="N31" s="5"/>
      <c r="O31" s="5"/>
      <c r="P31" s="5"/>
      <c r="Q31" s="5">
        <v>0.85</v>
      </c>
      <c r="R31" s="7"/>
      <c r="S31" s="7">
        <v>0.14000000000000001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30</v>
      </c>
      <c r="D32">
        <f t="shared" si="0"/>
        <v>5</v>
      </c>
      <c r="E32">
        <f t="shared" si="1"/>
        <v>3614</v>
      </c>
      <c r="F32">
        <v>31</v>
      </c>
      <c r="G32">
        <v>31</v>
      </c>
      <c r="H32">
        <v>0.09</v>
      </c>
      <c r="I32" s="5"/>
      <c r="J32" s="5">
        <v>0.22</v>
      </c>
      <c r="K32" s="5"/>
      <c r="L32" s="5">
        <v>0.03</v>
      </c>
      <c r="M32" s="5"/>
      <c r="N32" s="5"/>
      <c r="O32" s="5"/>
      <c r="P32" s="5"/>
      <c r="Q32" s="5">
        <v>0.54</v>
      </c>
      <c r="R32" s="7"/>
      <c r="S32" s="7">
        <v>0.01</v>
      </c>
      <c r="T32" t="s">
        <v>30</v>
      </c>
      <c r="U32" t="s">
        <v>30</v>
      </c>
      <c r="V32" t="s">
        <v>30</v>
      </c>
      <c r="W32" t="s">
        <v>30</v>
      </c>
    </row>
    <row r="33" spans="1:19" x14ac:dyDescent="0.25">
      <c r="A33" s="1" t="s">
        <v>44</v>
      </c>
      <c r="B33" s="3" t="s">
        <v>30</v>
      </c>
      <c r="R33" s="8"/>
      <c r="S33" s="8"/>
    </row>
    <row r="34" spans="1:19" x14ac:dyDescent="0.25">
      <c r="A34" s="1" t="s">
        <v>45</v>
      </c>
      <c r="B34" s="3" t="s">
        <v>30</v>
      </c>
    </row>
    <row r="35" spans="1:19" x14ac:dyDescent="0.25">
      <c r="A35" s="1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IT Services</cp:lastModifiedBy>
  <dcterms:created xsi:type="dcterms:W3CDTF">2016-09-30T11:06:39Z</dcterms:created>
  <dcterms:modified xsi:type="dcterms:W3CDTF">2018-04-10T12:27:14Z</dcterms:modified>
</cp:coreProperties>
</file>