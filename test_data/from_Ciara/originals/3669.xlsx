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309"/>
  <workbookPr/>
  <mc:AlternateContent xmlns:mc="http://schemas.openxmlformats.org/markup-compatibility/2006">
    <mc:Choice Requires="x15">
      <x15ac:absPath xmlns:x15ac="http://schemas.microsoft.com/office/spreadsheetml/2010/11/ac" url="/Users/tong/Desktop/17067235/"/>
    </mc:Choice>
  </mc:AlternateContent>
  <bookViews>
    <workbookView xWindow="720" yWindow="460" windowWidth="14180" windowHeight="16060"/>
  </bookViews>
  <sheets>
    <sheet name="Form 5 template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<sst xmlns="http://schemas.openxmlformats.org/spreadsheetml/2006/main" count="144" uniqueCount="54">
  <si>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</si>
  <si>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</si>
  <si>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</si>
  <si>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</si>
  <si>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</si>
  <si>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</si>
  <si>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</si>
  <si>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</si>
  <si>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</si>
  <si>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</si>
  <si>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</si>
  <si>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</si>
  <si>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</si>
  <si>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</si>
  <si>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</si>
  <si>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</si>
  <si>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</si>
  <si>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</si>
  <si>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</si>
  <si>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</si>
  <si>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</si>
  <si>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</si>
  <si>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</si>
  <si>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</si>
  <si>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</si>
  <si>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</si>
  <si>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</si>
  <si>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</si>
  <si>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</si>
  <si>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</si>
  <si>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</si>
  <si>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</si>
  <si>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</si>
  <si>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</si>
  <si>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</si>
  <si>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</si>
  <si>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</si>
  <si>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</si>
  <si>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</si>
  <si>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</si>
  <si>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</si>
  <si>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</si>
  <si>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</si>
  <si>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</si>
  <si>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</si>
  <si>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</si>
  <si>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</si>
  <si>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</si>
  <si>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</si>
  <si>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coollattin</t>
    <phoneticPr fontId="18" type="noConversion"/>
  </si>
  <si>
    <t>good quality</t>
    <phoneticPr fontId="18" type="noConversion"/>
  </si>
  <si>
    <t>collattin</t>
    <phoneticPr fontId="18" type="noConversion"/>
  </si>
  <si>
    <t>shillelagh</t>
    <phoneticPr fontId="18" type="noConversion"/>
  </si>
  <si>
    <t>I don't not what "T.L" means at the up-right of the page and the "Dayo".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</si>
</sst>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9" x14ac:knownFonts="1">
    <font>
      <sz val="11"/>
      <color theme="1"/>
      <name val="DengXian"/>
      <family val="2"/>
      <scheme val="minor"/>
    </font>
    <font>
      <sz val="11"/>
      <color theme="1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rgb="FF9C0006"/>
      <name val="DengXian"/>
      <family val="2"/>
      <scheme val="minor"/>
    </font>
    <font>
      <sz val="11"/>
      <color rgb="FF9C6500"/>
      <name val="DengXian"/>
      <family val="2"/>
      <scheme val="minor"/>
    </font>
    <font>
      <sz val="11"/>
      <color rgb="FF3F3F76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sz val="11"/>
      <color rgb="FFFF000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b/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9"/>
      <name val="DengXian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176" fontId="0" fillId="0" borderId="0" xfId="0" applyNumberFormat="1"/>
  </cellXfs>
  <cellStyles count="42">
    <cellStyle name="20%-个性色1" xfId="19" builtinId="30" customBuiltin="1"/>
    <cellStyle name="20%-个性色2" xfId="23" builtinId="34" customBuiltin="1"/>
    <cellStyle name="20%-个性色3" xfId="27" builtinId="38" customBuiltin="1"/>
    <cellStyle name="20%-个性色4" xfId="31" builtinId="42" customBuiltin="1"/>
    <cellStyle name="20%-个性色5" xfId="35" builtinId="46" customBuiltin="1"/>
    <cellStyle name="20%-个性色6" xfId="39" builtinId="50" customBuiltin="1"/>
    <cellStyle name="40%-个性色1" xfId="20" builtinId="31" customBuiltin="1"/>
    <cellStyle name="40%-个性色2" xfId="24" builtinId="35" customBuiltin="1"/>
    <cellStyle name="40%-个性色3" xfId="28" builtinId="39" customBuiltin="1"/>
    <cellStyle name="40%-个性色4" xfId="32" builtinId="43" customBuiltin="1"/>
    <cellStyle name="40%-个性色5" xfId="36" builtinId="47" customBuiltin="1"/>
    <cellStyle name="40%-个性色6" xfId="40" builtinId="51" customBuiltin="1"/>
    <cellStyle name="60%-个性色1" xfId="21" builtinId="32" customBuiltin="1"/>
    <cellStyle name="60%-个性色2" xfId="25" builtinId="36" customBuiltin="1"/>
    <cellStyle name="60%-个性色3" xfId="29" builtinId="40" customBuiltin="1"/>
    <cellStyle name="60%-个性色4" xfId="33" builtinId="44" customBuiltin="1"/>
    <cellStyle name="60%-个性色5" xfId="37" builtinId="48" customBuiltin="1"/>
    <cellStyle name="60%-个性色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个性色1" xfId="18" builtinId="29" customBuiltin="1"/>
    <cellStyle name="个性色2" xfId="22" builtinId="33" customBuiltin="1"/>
    <cellStyle name="个性色3" xfId="26" builtinId="37" customBuiltin="1"/>
    <cellStyle name="个性色4" xfId="30" builtinId="41" customBuiltin="1"/>
    <cellStyle name="个性色5" xfId="34" builtinId="45" customBuiltin="1"/>
    <cellStyle name="个性色6" xfId="38" builtinId="49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C1" zoomScale="107" zoomScaleNormal="130" zoomScalePageLayoutView="130" workbookViewId="0">
      <selection activeCell="AA16" sqref="AA16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3669</v>
      </c>
      <c r="D2">
        <f>($B$1)</f>
        <v>5</v>
      </c>
      <c r="E2">
        <f>($B$2)</f>
        <v>3669</v>
      </c>
      <c r="F2">
        <v>1</v>
      </c>
      <c r="G2">
        <v>1</v>
      </c>
      <c r="H2" s="5">
        <v>0.1</v>
      </c>
      <c r="I2" s="5">
        <v>0.16</v>
      </c>
      <c r="J2" s="5">
        <v>0.01</v>
      </c>
      <c r="K2" s="5">
        <v>0.28000000000000003</v>
      </c>
      <c r="L2" s="5"/>
      <c r="M2" s="5"/>
      <c r="N2" s="5">
        <v>0.05</v>
      </c>
      <c r="O2" s="5"/>
      <c r="P2" s="5">
        <v>0.32</v>
      </c>
      <c r="Q2" s="5">
        <v>0.45</v>
      </c>
      <c r="R2" s="5">
        <v>0.05</v>
      </c>
      <c r="S2" s="5">
        <v>0.17</v>
      </c>
      <c r="T2">
        <v>1</v>
      </c>
      <c r="U2" s="5">
        <v>7.51</v>
      </c>
      <c r="V2" s="5">
        <v>26</v>
      </c>
      <c r="W2" s="5">
        <v>23</v>
      </c>
      <c r="Y2" s="2">
        <f>SUM(H2:H32)</f>
        <v>7.5100000000000007</v>
      </c>
    </row>
    <row r="3" spans="1:25" x14ac:dyDescent="0.2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3669</v>
      </c>
      <c r="F3">
        <v>2</v>
      </c>
      <c r="G3">
        <v>2</v>
      </c>
      <c r="H3" s="5">
        <v>0.03</v>
      </c>
      <c r="I3" s="5">
        <v>0.36</v>
      </c>
      <c r="J3" s="5"/>
      <c r="K3" s="5">
        <v>0.22</v>
      </c>
      <c r="L3" s="5"/>
      <c r="M3" s="5"/>
      <c r="N3" s="5">
        <v>0.22</v>
      </c>
      <c r="O3" s="5"/>
      <c r="P3" s="5"/>
      <c r="Q3" s="5"/>
      <c r="R3" s="5"/>
      <c r="S3" s="5">
        <v>0.1</v>
      </c>
      <c r="T3">
        <v>2</v>
      </c>
      <c r="U3">
        <v>5.07</v>
      </c>
      <c r="V3" s="5">
        <v>21</v>
      </c>
      <c r="W3" s="5">
        <v>21</v>
      </c>
      <c r="Y3" s="2">
        <f>SUM(I:I)</f>
        <v>5.0699999999999994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3669</v>
      </c>
      <c r="F4">
        <v>3</v>
      </c>
      <c r="G4">
        <v>3</v>
      </c>
      <c r="H4" s="5"/>
      <c r="I4" s="5">
        <v>0.25</v>
      </c>
      <c r="J4" s="5">
        <v>0.09</v>
      </c>
      <c r="K4" s="5">
        <v>1</v>
      </c>
      <c r="L4" s="5"/>
      <c r="M4" s="5">
        <v>0.2</v>
      </c>
      <c r="N4" s="5">
        <v>0.54</v>
      </c>
      <c r="O4" s="5"/>
      <c r="P4" s="5"/>
      <c r="Q4" s="5"/>
      <c r="R4" s="5"/>
      <c r="S4" s="5">
        <v>0.09</v>
      </c>
      <c r="T4">
        <v>3</v>
      </c>
      <c r="U4">
        <v>3.69</v>
      </c>
      <c r="V4" s="5">
        <v>21</v>
      </c>
      <c r="W4" s="5">
        <v>17</v>
      </c>
      <c r="Y4" s="2">
        <f>SUM(J:J)</f>
        <v>3.69</v>
      </c>
    </row>
    <row r="5" spans="1:25" x14ac:dyDescent="0.2">
      <c r="A5" s="1" t="s">
        <v>4</v>
      </c>
      <c r="D5">
        <f t="shared" si="0"/>
        <v>5</v>
      </c>
      <c r="E5">
        <f t="shared" si="1"/>
        <v>3669</v>
      </c>
      <c r="F5">
        <v>4</v>
      </c>
      <c r="G5">
        <v>4</v>
      </c>
      <c r="H5" s="5">
        <v>0.05</v>
      </c>
      <c r="I5" s="5"/>
      <c r="J5" s="5">
        <v>0.06</v>
      </c>
      <c r="K5" s="5"/>
      <c r="L5" s="5">
        <v>0.1</v>
      </c>
      <c r="M5" s="5">
        <v>0.04</v>
      </c>
      <c r="N5" s="5"/>
      <c r="O5" s="5">
        <v>7.0000000000000007E-2</v>
      </c>
      <c r="P5" s="5">
        <v>0.08</v>
      </c>
      <c r="Q5" s="5"/>
      <c r="R5" s="5">
        <v>0.4</v>
      </c>
      <c r="S5" s="5">
        <v>0.34</v>
      </c>
      <c r="T5">
        <v>4</v>
      </c>
      <c r="U5" s="5">
        <v>3.86</v>
      </c>
      <c r="V5" s="5">
        <v>15</v>
      </c>
      <c r="W5" s="5">
        <v>13</v>
      </c>
      <c r="Y5" s="2">
        <f>SUM(K:K)</f>
        <v>3.86</v>
      </c>
    </row>
    <row r="6" spans="1:25" x14ac:dyDescent="0.2">
      <c r="A6" s="1" t="s">
        <v>5</v>
      </c>
      <c r="D6">
        <f t="shared" si="0"/>
        <v>5</v>
      </c>
      <c r="E6">
        <f t="shared" si="1"/>
        <v>3669</v>
      </c>
      <c r="F6">
        <v>5</v>
      </c>
      <c r="G6">
        <v>5</v>
      </c>
      <c r="H6" s="5">
        <v>0.4</v>
      </c>
      <c r="I6" s="5"/>
      <c r="J6" s="5"/>
      <c r="K6" s="5">
        <v>0.24</v>
      </c>
      <c r="L6" s="5"/>
      <c r="M6" s="5">
        <v>0.1</v>
      </c>
      <c r="N6" s="5">
        <v>0.28000000000000003</v>
      </c>
      <c r="O6" s="5">
        <v>0.02</v>
      </c>
      <c r="P6" s="5"/>
      <c r="Q6" s="5"/>
      <c r="R6" s="5"/>
      <c r="S6" s="5"/>
      <c r="T6">
        <v>5</v>
      </c>
      <c r="U6">
        <v>1.41</v>
      </c>
      <c r="V6" s="5">
        <v>8</v>
      </c>
      <c r="W6" s="5">
        <v>7</v>
      </c>
      <c r="Y6" s="2">
        <f>SUM(L:L)</f>
        <v>1.4100000000000001</v>
      </c>
    </row>
    <row r="7" spans="1:25" x14ac:dyDescent="0.2">
      <c r="A7" s="1" t="s">
        <v>6</v>
      </c>
      <c r="D7">
        <f t="shared" si="0"/>
        <v>5</v>
      </c>
      <c r="E7">
        <f t="shared" si="1"/>
        <v>3669</v>
      </c>
      <c r="F7">
        <v>6</v>
      </c>
      <c r="G7">
        <v>6</v>
      </c>
      <c r="H7" s="5">
        <v>0.12</v>
      </c>
      <c r="I7" s="5">
        <v>0.05</v>
      </c>
      <c r="J7" s="5">
        <v>0.37</v>
      </c>
      <c r="K7" s="5">
        <v>0.1</v>
      </c>
      <c r="L7" s="5">
        <v>0.15</v>
      </c>
      <c r="M7" s="5">
        <v>0.35</v>
      </c>
      <c r="N7" s="5"/>
      <c r="O7" s="5">
        <v>0.13</v>
      </c>
      <c r="P7" s="5"/>
      <c r="Q7" s="5"/>
      <c r="R7" s="5"/>
      <c r="S7" s="5"/>
      <c r="T7">
        <v>6</v>
      </c>
      <c r="U7">
        <v>1.84</v>
      </c>
      <c r="V7" s="5">
        <v>16</v>
      </c>
      <c r="W7" s="5">
        <v>13</v>
      </c>
      <c r="Y7" s="2">
        <f>SUM(M:M)</f>
        <v>1.8399999999999999</v>
      </c>
    </row>
    <row r="8" spans="1:25" x14ac:dyDescent="0.2">
      <c r="A8" s="1" t="s">
        <v>7</v>
      </c>
      <c r="D8">
        <f t="shared" si="0"/>
        <v>5</v>
      </c>
      <c r="E8">
        <f t="shared" si="1"/>
        <v>3669</v>
      </c>
      <c r="F8">
        <v>7</v>
      </c>
      <c r="G8">
        <v>7</v>
      </c>
      <c r="H8" s="5">
        <v>0.03</v>
      </c>
      <c r="I8" s="5">
        <v>0.5</v>
      </c>
      <c r="J8" s="5">
        <v>0.21</v>
      </c>
      <c r="K8" s="5">
        <v>0.05</v>
      </c>
      <c r="L8" s="5"/>
      <c r="M8" s="5">
        <v>0.13</v>
      </c>
      <c r="N8" s="5"/>
      <c r="O8" s="5"/>
      <c r="P8" s="5">
        <v>0.04</v>
      </c>
      <c r="Q8" s="5"/>
      <c r="R8" s="5">
        <v>0.05</v>
      </c>
      <c r="S8" s="5">
        <v>0.14000000000000001</v>
      </c>
      <c r="T8">
        <v>7</v>
      </c>
      <c r="U8" s="5">
        <v>3.4</v>
      </c>
      <c r="V8" s="5">
        <v>16</v>
      </c>
      <c r="W8" s="5">
        <v>16</v>
      </c>
      <c r="Y8" s="2">
        <f>SUM(N:N)</f>
        <v>3.3999999999999995</v>
      </c>
    </row>
    <row r="9" spans="1:25" x14ac:dyDescent="0.2">
      <c r="A9" s="1" t="s">
        <v>8</v>
      </c>
      <c r="B9" s="3">
        <v>1937</v>
      </c>
      <c r="D9">
        <f t="shared" si="0"/>
        <v>5</v>
      </c>
      <c r="E9">
        <f t="shared" si="1"/>
        <v>3669</v>
      </c>
      <c r="F9">
        <v>8</v>
      </c>
      <c r="G9">
        <v>8</v>
      </c>
      <c r="H9" s="5">
        <v>0.2</v>
      </c>
      <c r="I9" s="5"/>
      <c r="J9" s="5">
        <v>0.03</v>
      </c>
      <c r="K9" s="5">
        <v>0.1</v>
      </c>
      <c r="L9" s="5">
        <v>0.17</v>
      </c>
      <c r="M9" s="5">
        <v>0.04</v>
      </c>
      <c r="N9" s="5">
        <v>0.12</v>
      </c>
      <c r="O9" s="5">
        <v>0.03</v>
      </c>
      <c r="P9" s="5">
        <v>0.25</v>
      </c>
      <c r="Q9" s="5"/>
      <c r="R9" s="5">
        <v>0.11</v>
      </c>
      <c r="S9" s="5">
        <v>0.02</v>
      </c>
      <c r="T9">
        <v>8</v>
      </c>
      <c r="U9" s="5">
        <v>2.0699999999999998</v>
      </c>
      <c r="V9" s="5">
        <v>14</v>
      </c>
      <c r="W9" s="5">
        <v>11</v>
      </c>
      <c r="Y9" s="2">
        <f>SUM(O:O)</f>
        <v>2.0700000000000003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3669</v>
      </c>
      <c r="F10">
        <v>9</v>
      </c>
      <c r="G10">
        <v>9</v>
      </c>
      <c r="H10" s="5">
        <v>0.1</v>
      </c>
      <c r="I10" s="5">
        <v>0.05</v>
      </c>
      <c r="J10" s="5"/>
      <c r="K10" s="5">
        <v>0.4</v>
      </c>
      <c r="L10" s="5">
        <v>0.23</v>
      </c>
      <c r="M10" s="5"/>
      <c r="N10" s="5"/>
      <c r="O10" s="5"/>
      <c r="P10" s="5">
        <v>0.47</v>
      </c>
      <c r="Q10" s="5">
        <v>0.04</v>
      </c>
      <c r="R10" s="5"/>
      <c r="S10" s="5"/>
      <c r="T10">
        <v>9</v>
      </c>
      <c r="U10" s="5">
        <v>3.64</v>
      </c>
      <c r="V10" s="5">
        <v>20</v>
      </c>
      <c r="W10" s="5">
        <v>20</v>
      </c>
      <c r="Y10" s="2">
        <f>SUM(P:P)</f>
        <v>3.6399999999999997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3669</v>
      </c>
      <c r="F11">
        <v>10</v>
      </c>
      <c r="G11">
        <v>10</v>
      </c>
      <c r="H11" s="5">
        <v>0.2</v>
      </c>
      <c r="I11" s="5"/>
      <c r="J11" s="5">
        <v>0.16</v>
      </c>
      <c r="K11" s="5"/>
      <c r="L11" s="5"/>
      <c r="M11" s="5">
        <v>0.12</v>
      </c>
      <c r="N11" s="5">
        <v>0.17</v>
      </c>
      <c r="O11" s="5">
        <v>0.02</v>
      </c>
      <c r="P11" s="5"/>
      <c r="Q11" s="5"/>
      <c r="R11" s="5"/>
      <c r="S11" s="5">
        <v>0.23</v>
      </c>
      <c r="T11">
        <v>10</v>
      </c>
      <c r="U11" s="5">
        <v>3.07</v>
      </c>
      <c r="V11" s="5">
        <v>11</v>
      </c>
      <c r="W11" s="5">
        <v>8</v>
      </c>
      <c r="Y11" s="2">
        <f>SUM(Q:Q)</f>
        <v>3.0699999999999994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3669</v>
      </c>
      <c r="F12">
        <v>11</v>
      </c>
      <c r="G12">
        <v>11</v>
      </c>
      <c r="H12" s="5">
        <v>0.75</v>
      </c>
      <c r="I12" s="5"/>
      <c r="J12" s="5">
        <v>1.1000000000000001</v>
      </c>
      <c r="K12" s="5"/>
      <c r="L12" s="5"/>
      <c r="M12" s="5">
        <v>0.1</v>
      </c>
      <c r="N12" s="5">
        <v>0.18</v>
      </c>
      <c r="O12" s="5">
        <v>0.04</v>
      </c>
      <c r="P12" s="5"/>
      <c r="Q12" s="5"/>
      <c r="R12" s="5"/>
      <c r="S12" s="5"/>
      <c r="T12">
        <v>11</v>
      </c>
      <c r="U12" s="5">
        <v>2.5499999999999998</v>
      </c>
      <c r="V12" s="5">
        <v>13</v>
      </c>
      <c r="W12" s="5">
        <v>12</v>
      </c>
      <c r="Y12" s="2">
        <f>SUM(R:R)</f>
        <v>2.5499999999999998</v>
      </c>
    </row>
    <row r="13" spans="1:25" x14ac:dyDescent="0.2">
      <c r="A13" s="1" t="s">
        <v>12</v>
      </c>
      <c r="B13" s="3" t="s">
        <v>50</v>
      </c>
      <c r="D13">
        <f t="shared" si="0"/>
        <v>5</v>
      </c>
      <c r="E13">
        <f t="shared" si="1"/>
        <v>3669</v>
      </c>
      <c r="F13">
        <v>12</v>
      </c>
      <c r="G13">
        <v>12</v>
      </c>
      <c r="H13" s="5">
        <v>0.13</v>
      </c>
      <c r="I13" s="5">
        <v>0.32</v>
      </c>
      <c r="J13" s="5">
        <v>0.21</v>
      </c>
      <c r="K13" s="5"/>
      <c r="L13" s="5"/>
      <c r="M13" s="5">
        <v>7.0000000000000007E-2</v>
      </c>
      <c r="N13" s="5">
        <v>0.14000000000000001</v>
      </c>
      <c r="O13" s="5"/>
      <c r="P13" s="5">
        <v>0.21</v>
      </c>
      <c r="Q13" s="5"/>
      <c r="R13" s="5"/>
      <c r="S13" s="5">
        <v>0.22</v>
      </c>
      <c r="T13">
        <v>12</v>
      </c>
      <c r="U13" s="5">
        <v>3.12</v>
      </c>
      <c r="V13" s="5">
        <v>22</v>
      </c>
      <c r="W13" s="5">
        <v>19</v>
      </c>
      <c r="Y13" s="2">
        <f>SUM(S:S)</f>
        <v>3.1199999999999997</v>
      </c>
    </row>
    <row r="14" spans="1:25" x14ac:dyDescent="0.2">
      <c r="D14">
        <f t="shared" si="0"/>
        <v>5</v>
      </c>
      <c r="E14">
        <f t="shared" si="1"/>
        <v>3669</v>
      </c>
      <c r="F14">
        <v>13</v>
      </c>
      <c r="G14">
        <v>13</v>
      </c>
      <c r="H14" s="5"/>
      <c r="I14" s="5">
        <v>0.05</v>
      </c>
      <c r="J14" s="5"/>
      <c r="K14" s="5">
        <v>0.02</v>
      </c>
      <c r="L14" s="5"/>
      <c r="M14" s="5">
        <v>0.12</v>
      </c>
      <c r="N14" s="5"/>
      <c r="O14" s="5">
        <v>0.24</v>
      </c>
      <c r="P14" s="5">
        <v>0.19</v>
      </c>
      <c r="Q14" s="5"/>
      <c r="R14" s="5"/>
      <c r="S14" s="5">
        <v>0.14000000000000001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3669</v>
      </c>
      <c r="F15">
        <v>14</v>
      </c>
      <c r="G15">
        <v>14</v>
      </c>
      <c r="H15" s="5"/>
      <c r="I15" s="5">
        <v>0.17</v>
      </c>
      <c r="J15" s="5"/>
      <c r="K15" s="5">
        <v>0.01</v>
      </c>
      <c r="L15" s="5"/>
      <c r="M15" s="5"/>
      <c r="N15" s="5">
        <v>0.24</v>
      </c>
      <c r="O15" s="5"/>
      <c r="P15" s="5">
        <v>0.06</v>
      </c>
      <c r="Q15" s="5"/>
      <c r="R15" s="5"/>
      <c r="S15" s="5">
        <v>0.04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3639</v>
      </c>
      <c r="D16">
        <f t="shared" si="0"/>
        <v>5</v>
      </c>
      <c r="E16">
        <f t="shared" si="1"/>
        <v>3669</v>
      </c>
      <c r="F16">
        <v>15</v>
      </c>
      <c r="G16">
        <v>15</v>
      </c>
      <c r="H16" s="5">
        <v>0.74</v>
      </c>
      <c r="I16" s="5">
        <v>0.49</v>
      </c>
      <c r="J16" s="5">
        <v>0.12</v>
      </c>
      <c r="K16" s="5">
        <v>0.37</v>
      </c>
      <c r="L16" s="5"/>
      <c r="M16" s="5"/>
      <c r="N16" s="5"/>
      <c r="O16" s="5">
        <v>0.16</v>
      </c>
      <c r="P16" s="5">
        <v>0.14000000000000001</v>
      </c>
      <c r="Q16" s="5"/>
      <c r="R16" s="5"/>
      <c r="S16" s="5">
        <v>0.13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3669</v>
      </c>
      <c r="F17">
        <v>16</v>
      </c>
      <c r="G17">
        <v>16</v>
      </c>
      <c r="H17" s="5">
        <v>0.98</v>
      </c>
      <c r="I17" s="5"/>
      <c r="J17" s="5">
        <v>0.05</v>
      </c>
      <c r="K17" s="5">
        <v>0.1</v>
      </c>
      <c r="L17" s="5"/>
      <c r="M17" s="5">
        <v>0.22</v>
      </c>
      <c r="N17" s="5">
        <v>0.11</v>
      </c>
      <c r="O17" s="5">
        <v>0.22</v>
      </c>
      <c r="P17" s="5">
        <v>0.1</v>
      </c>
      <c r="Q17" s="5"/>
      <c r="R17" s="5">
        <v>0.12</v>
      </c>
      <c r="S17" s="5"/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3669</v>
      </c>
      <c r="F18">
        <v>17</v>
      </c>
      <c r="G18">
        <v>17</v>
      </c>
      <c r="H18" s="5">
        <v>0.56000000000000005</v>
      </c>
      <c r="I18" s="5">
        <v>0.19</v>
      </c>
      <c r="J18" s="5">
        <v>0.12</v>
      </c>
      <c r="K18" s="5"/>
      <c r="L18" s="5"/>
      <c r="M18" s="5"/>
      <c r="N18" s="5"/>
      <c r="O18" s="5"/>
      <c r="P18" s="5">
        <v>0.11</v>
      </c>
      <c r="Q18" s="5"/>
      <c r="R18" s="5">
        <v>0.36</v>
      </c>
      <c r="S18" s="5"/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1937</v>
      </c>
      <c r="D19">
        <f t="shared" si="0"/>
        <v>5</v>
      </c>
      <c r="E19">
        <f t="shared" si="1"/>
        <v>3669</v>
      </c>
      <c r="F19">
        <v>18</v>
      </c>
      <c r="G19">
        <v>18</v>
      </c>
      <c r="H19" s="5"/>
      <c r="I19" s="5">
        <v>0.1</v>
      </c>
      <c r="J19" s="5">
        <v>0.27</v>
      </c>
      <c r="K19" s="5"/>
      <c r="L19" s="5"/>
      <c r="M19" s="5">
        <v>0.12</v>
      </c>
      <c r="N19" s="5">
        <v>0.04</v>
      </c>
      <c r="O19" s="5">
        <v>0.17</v>
      </c>
      <c r="P19" s="5">
        <v>0.28999999999999998</v>
      </c>
      <c r="Q19" s="5"/>
      <c r="R19" s="5">
        <v>0.38</v>
      </c>
      <c r="S19" s="5">
        <v>0.2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51</v>
      </c>
      <c r="D20">
        <f t="shared" si="0"/>
        <v>5</v>
      </c>
      <c r="E20">
        <f t="shared" si="1"/>
        <v>3669</v>
      </c>
      <c r="F20">
        <v>19</v>
      </c>
      <c r="G20">
        <v>19</v>
      </c>
      <c r="H20" s="5">
        <v>0.04</v>
      </c>
      <c r="I20" s="5">
        <v>0.05</v>
      </c>
      <c r="J20" s="5">
        <v>0.23</v>
      </c>
      <c r="K20" s="5">
        <v>0.38</v>
      </c>
      <c r="L20" s="5"/>
      <c r="M20" s="5"/>
      <c r="N20" s="5"/>
      <c r="O20" s="5"/>
      <c r="P20" s="5">
        <v>0.12</v>
      </c>
      <c r="Q20" s="5"/>
      <c r="R20" s="5">
        <v>0.02</v>
      </c>
      <c r="S20" s="5">
        <v>0.04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D21">
        <f t="shared" si="0"/>
        <v>5</v>
      </c>
      <c r="E21">
        <f t="shared" si="1"/>
        <v>3669</v>
      </c>
      <c r="F21">
        <v>20</v>
      </c>
      <c r="G21">
        <v>20</v>
      </c>
      <c r="H21" s="5">
        <v>0.74</v>
      </c>
      <c r="I21" s="5">
        <v>0.1</v>
      </c>
      <c r="J21" s="5">
        <v>0.1</v>
      </c>
      <c r="K21" s="5">
        <v>0.48</v>
      </c>
      <c r="L21" s="5"/>
      <c r="M21" s="5"/>
      <c r="N21" s="5">
        <v>0.47</v>
      </c>
      <c r="O21" s="5"/>
      <c r="P21" s="5"/>
      <c r="Q21" s="5">
        <v>0.11</v>
      </c>
      <c r="R21" s="5"/>
      <c r="S21" s="5">
        <v>0.62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 t="s">
        <v>52</v>
      </c>
      <c r="D22">
        <f t="shared" si="0"/>
        <v>5</v>
      </c>
      <c r="E22">
        <f t="shared" si="1"/>
        <v>3669</v>
      </c>
      <c r="F22">
        <v>21</v>
      </c>
      <c r="G22">
        <v>21</v>
      </c>
      <c r="H22" s="5">
        <v>0.99</v>
      </c>
      <c r="I22" s="5">
        <v>0.27</v>
      </c>
      <c r="J22" s="5"/>
      <c r="K22" s="5">
        <v>0.11</v>
      </c>
      <c r="L22" s="5">
        <v>0.03</v>
      </c>
      <c r="M22" s="5">
        <v>0.01</v>
      </c>
      <c r="N22" s="5">
        <v>0.06</v>
      </c>
      <c r="O22" s="5"/>
      <c r="P22" s="5">
        <v>0.26</v>
      </c>
      <c r="Q22" s="5">
        <v>0.1</v>
      </c>
      <c r="R22" s="5">
        <v>0.3</v>
      </c>
      <c r="S22" s="5">
        <v>0.05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D23">
        <f t="shared" si="0"/>
        <v>5</v>
      </c>
      <c r="E23">
        <f t="shared" si="1"/>
        <v>3669</v>
      </c>
      <c r="F23">
        <v>22</v>
      </c>
      <c r="G23">
        <v>22</v>
      </c>
      <c r="H23" s="5">
        <v>0.56000000000000005</v>
      </c>
      <c r="I23" s="5"/>
      <c r="J23" s="5">
        <v>0.02</v>
      </c>
      <c r="K23" s="5"/>
      <c r="L23" s="5">
        <v>0.13</v>
      </c>
      <c r="M23" s="5">
        <v>0.02</v>
      </c>
      <c r="N23" s="5">
        <v>0.44</v>
      </c>
      <c r="O23" s="5"/>
      <c r="P23" s="5">
        <v>0.05</v>
      </c>
      <c r="Q23" s="5">
        <v>0.26</v>
      </c>
      <c r="R23" s="5">
        <v>0.45</v>
      </c>
      <c r="S23" s="5">
        <v>0.28999999999999998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9</v>
      </c>
      <c r="D24">
        <f t="shared" si="0"/>
        <v>5</v>
      </c>
      <c r="E24">
        <f t="shared" si="1"/>
        <v>3669</v>
      </c>
      <c r="F24">
        <v>23</v>
      </c>
      <c r="G24">
        <v>23</v>
      </c>
      <c r="H24" s="5">
        <v>0.15</v>
      </c>
      <c r="I24" s="5">
        <v>0.37</v>
      </c>
      <c r="J24" s="5">
        <v>0.03</v>
      </c>
      <c r="K24" s="5"/>
      <c r="L24" s="5">
        <v>0.54</v>
      </c>
      <c r="M24" s="5"/>
      <c r="N24" s="5">
        <v>0.17</v>
      </c>
      <c r="O24" s="5"/>
      <c r="P24" s="5">
        <v>0.04</v>
      </c>
      <c r="Q24" s="5"/>
      <c r="R24" s="5"/>
      <c r="S24" s="5">
        <v>0.08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>
        <v>383</v>
      </c>
      <c r="D25">
        <f t="shared" si="0"/>
        <v>5</v>
      </c>
      <c r="E25">
        <f t="shared" si="1"/>
        <v>3669</v>
      </c>
      <c r="F25">
        <v>24</v>
      </c>
      <c r="G25">
        <v>24</v>
      </c>
      <c r="H25" s="5">
        <v>0.17</v>
      </c>
      <c r="I25" s="5">
        <v>0.59</v>
      </c>
      <c r="J25" s="5">
        <v>0.05</v>
      </c>
      <c r="K25" s="5"/>
      <c r="L25" s="5">
        <v>0.06</v>
      </c>
      <c r="M25" s="5"/>
      <c r="N25" s="5">
        <v>0.17</v>
      </c>
      <c r="O25" s="5">
        <v>0.05</v>
      </c>
      <c r="P25" s="5">
        <v>0.16</v>
      </c>
      <c r="Q25" s="5">
        <v>0.39</v>
      </c>
      <c r="R25" s="5"/>
      <c r="S25" s="5">
        <v>0.04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30</v>
      </c>
      <c r="D26">
        <f t="shared" si="0"/>
        <v>5</v>
      </c>
      <c r="E26">
        <f t="shared" si="1"/>
        <v>3669</v>
      </c>
      <c r="F26">
        <v>25</v>
      </c>
      <c r="G26">
        <v>25</v>
      </c>
      <c r="H26" s="5">
        <v>0.08</v>
      </c>
      <c r="I26" s="5">
        <v>0.52</v>
      </c>
      <c r="J26" s="5"/>
      <c r="K26" s="5"/>
      <c r="L26" s="5"/>
      <c r="M26" s="5"/>
      <c r="N26" s="5"/>
      <c r="O26" s="5">
        <v>0.16</v>
      </c>
      <c r="P26" s="5">
        <v>7.0000000000000007E-2</v>
      </c>
      <c r="Q26" s="5">
        <v>1.28</v>
      </c>
      <c r="R26" s="5"/>
      <c r="S26" s="5">
        <v>0.03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B27" s="3" t="s">
        <v>53</v>
      </c>
      <c r="D27">
        <f t="shared" si="0"/>
        <v>5</v>
      </c>
      <c r="E27">
        <f t="shared" si="1"/>
        <v>3669</v>
      </c>
      <c r="F27">
        <v>26</v>
      </c>
      <c r="G27">
        <v>26</v>
      </c>
      <c r="H27" s="5">
        <v>0.05</v>
      </c>
      <c r="I27" s="5">
        <v>0.32</v>
      </c>
      <c r="J27" s="5"/>
      <c r="K27" s="5"/>
      <c r="L27" s="5"/>
      <c r="M27" s="5"/>
      <c r="N27" s="5"/>
      <c r="O27" s="5"/>
      <c r="P27" s="5">
        <v>0.06</v>
      </c>
      <c r="Q27" s="5">
        <v>0.03</v>
      </c>
      <c r="R27" s="5"/>
      <c r="S27" s="5">
        <v>0.04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41.23</v>
      </c>
      <c r="D28">
        <f t="shared" si="0"/>
        <v>5</v>
      </c>
      <c r="E28">
        <f t="shared" si="1"/>
        <v>3669</v>
      </c>
      <c r="F28">
        <v>27</v>
      </c>
      <c r="G28">
        <v>27</v>
      </c>
      <c r="H28" s="5"/>
      <c r="I28" s="5">
        <v>0.1</v>
      </c>
      <c r="J28" s="5">
        <v>0.04</v>
      </c>
      <c r="K28" s="5"/>
      <c r="L28" s="5"/>
      <c r="M28" s="5"/>
      <c r="N28" s="5"/>
      <c r="O28" s="5"/>
      <c r="P28" s="5"/>
      <c r="Q28" s="5">
        <v>0.02</v>
      </c>
      <c r="R28" s="5"/>
      <c r="S28" s="5">
        <v>0.1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203</v>
      </c>
      <c r="D29">
        <f t="shared" si="0"/>
        <v>5</v>
      </c>
      <c r="E29">
        <f t="shared" si="1"/>
        <v>3669</v>
      </c>
      <c r="F29">
        <v>28</v>
      </c>
      <c r="G29">
        <v>28</v>
      </c>
      <c r="H29" s="5">
        <v>0.03</v>
      </c>
      <c r="I29" s="5">
        <v>0.06</v>
      </c>
      <c r="J29" s="5"/>
      <c r="K29" s="5"/>
      <c r="L29" s="5"/>
      <c r="M29" s="5"/>
      <c r="N29" s="5"/>
      <c r="O29" s="5"/>
      <c r="P29" s="5"/>
      <c r="Q29" s="5"/>
      <c r="R29" s="5">
        <v>0.08</v>
      </c>
      <c r="S29" s="5">
        <v>0.01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180</v>
      </c>
      <c r="D30">
        <f t="shared" si="0"/>
        <v>5</v>
      </c>
      <c r="E30">
        <f t="shared" si="1"/>
        <v>3669</v>
      </c>
      <c r="F30">
        <v>29</v>
      </c>
      <c r="G30">
        <v>29</v>
      </c>
      <c r="H30" s="5">
        <v>0.05</v>
      </c>
      <c r="I30" s="5"/>
      <c r="J30" s="5"/>
      <c r="K30" s="5"/>
      <c r="L30" s="5"/>
      <c r="M30" s="5">
        <v>0.19</v>
      </c>
      <c r="N30" s="5"/>
      <c r="O30" s="5">
        <v>0.26</v>
      </c>
      <c r="P30" s="5"/>
      <c r="Q30" s="5">
        <v>0.36</v>
      </c>
      <c r="R30" s="5">
        <v>0.19</v>
      </c>
      <c r="S30" s="5"/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3" t="s">
        <v>30</v>
      </c>
      <c r="D31">
        <f t="shared" si="0"/>
        <v>5</v>
      </c>
      <c r="E31">
        <f t="shared" si="1"/>
        <v>3669</v>
      </c>
      <c r="F31">
        <v>30</v>
      </c>
      <c r="G31">
        <v>30</v>
      </c>
      <c r="H31" s="5">
        <v>0.2</v>
      </c>
      <c r="I31" s="5"/>
      <c r="J31" s="5">
        <v>0.1</v>
      </c>
      <c r="K31" s="5"/>
      <c r="L31" s="5"/>
      <c r="M31" s="5">
        <v>0.01</v>
      </c>
      <c r="N31" s="5"/>
      <c r="O31" s="5"/>
      <c r="P31" s="5">
        <v>0.62</v>
      </c>
      <c r="Q31" s="5">
        <v>0.03</v>
      </c>
      <c r="R31" s="5">
        <v>0.04</v>
      </c>
      <c r="S31" s="5"/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30</v>
      </c>
      <c r="D32">
        <f t="shared" si="0"/>
        <v>5</v>
      </c>
      <c r="E32">
        <f t="shared" si="1"/>
        <v>3669</v>
      </c>
      <c r="F32">
        <v>31</v>
      </c>
      <c r="G32">
        <v>31</v>
      </c>
      <c r="H32" s="5">
        <v>0.06</v>
      </c>
      <c r="I32" s="5"/>
      <c r="J32" s="5">
        <v>0.32</v>
      </c>
      <c r="K32" s="5"/>
      <c r="L32" s="5"/>
      <c r="M32" s="5"/>
      <c r="N32" s="5"/>
      <c r="O32" s="5">
        <v>0.5</v>
      </c>
      <c r="P32" s="5"/>
      <c r="Q32" s="5"/>
      <c r="R32" s="5"/>
      <c r="S32" s="5"/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Microsoft Office 用户</cp:lastModifiedBy>
  <dcterms:created xsi:type="dcterms:W3CDTF">2016-09-30T11:06:39Z</dcterms:created>
  <dcterms:modified xsi:type="dcterms:W3CDTF">2018-03-23T19:13:53Z</dcterms:modified>
</cp:coreProperties>
</file>