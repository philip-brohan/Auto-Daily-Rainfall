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1" l="1"/>
  <c r="Y13" i="1"/>
  <c r="Y12" i="1"/>
  <c r="Y11" i="1"/>
  <c r="Y10" i="1"/>
  <c r="Y9" i="1"/>
  <c r="Y8" i="1"/>
  <c r="Y7" i="1"/>
  <c r="Y6" i="1"/>
  <c r="Y5" i="1"/>
  <c r="Y4" i="1"/>
  <c r="Y3" i="1"/>
</calcChain>
</file>

<file path=xl/sharedStrings.xml><?xml version="1.0" encoding="utf-8"?>
<sst xmlns="http://schemas.openxmlformats.org/spreadsheetml/2006/main" count="66" uniqueCount="56">
  <si>
    <t>docnum</t>
  </si>
  <si>
    <t>image_nu</t>
  </si>
  <si>
    <t>row_num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</si>
  <si>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</si>
  <si>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</si>
  <si>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</si>
  <si>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</si>
  <si>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</si>
  <si>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</si>
  <si>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</si>
  <si>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</si>
  <si>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</si>
  <si>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</si>
  <si>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</si>
  <si>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</si>
  <si>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</si>
  <si>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</si>
  <si>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</si>
  <si>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</t>
  </si>
  <si>
    <t>m_wetday</t>
  </si>
  <si>
    <t>QA month</t>
  </si>
  <si>
    <t>imagename</t>
  </si>
  <si>
    <t>stnname</t>
  </si>
  <si>
    <t>stno</t>
  </si>
  <si>
    <t>na</t>
  </si>
  <si>
    <t>stnlat</t>
  </si>
  <si>
    <t>stnlatmin</t>
  </si>
  <si>
    <t>stnlong</t>
  </si>
  <si>
    <t>stnlongmin</t>
  </si>
  <si>
    <t>year</t>
  </si>
  <si>
    <t>archcode</t>
  </si>
  <si>
    <t>comments</t>
  </si>
  <si>
    <t>image_number</t>
  </si>
  <si>
    <t>row_number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</si>
  <si>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</si>
  <si>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</si>
  <si>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</si>
  <si>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</si>
  <si>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</si>
  <si>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</si>
  <si>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</si>
  <si>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</si>
  <si>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</si>
  <si>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</si>
  <si>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</si>
  <si>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</si>
  <si>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</si>
  <si>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</si>
  <si>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</si>
  <si>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</si>
  <si>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</si>
  <si>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Mayfield Portlaw</t>
  </si>
  <si>
    <t>Waterford</t>
  </si>
  <si>
    <t>9am</t>
  </si>
  <si>
    <t>John Anderson</t>
  </si>
  <si>
    <t>Good quility, but I cannot unerstand the handwritting in the space "Diameter" and "Height of top above Grond"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</si>
</sst>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1" fillId="2" borderId="0" xfId="0" applyFont="1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topLeftCell="A8" workbookViewId="0">
      <selection activeCell="B27" sqref="B27"/>
    </sheetView>
  </sheetViews>
  <sheetFormatPr defaultRowHeight="15" x14ac:dyDescent="0.25"/>
  <sheetData>
    <row r="1" spans="1:25" x14ac:dyDescent="0.25">
      <c r="A1" s="1" t="s">
        <v>0</v>
      </c>
      <c r="B1" s="2">
        <v>7</v>
      </c>
      <c r="C1" s="3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6" t="s">
        <v>19</v>
      </c>
      <c r="X1" s="6"/>
      <c r="Y1" s="4" t="s">
        <v>20</v>
      </c>
    </row>
    <row r="2" spans="1:25" x14ac:dyDescent="0.25">
      <c r="A2" s="1" t="s">
        <v>21</v>
      </c>
      <c r="B2">
        <v>6821</v>
      </c>
      <c r="D2">
        <v>7</v>
      </c>
      <c r="E2">
        <v>6821</v>
      </c>
      <c r="F2">
        <v>1</v>
      </c>
      <c r="G2" s="5">
        <v>1</v>
      </c>
      <c r="H2">
        <v>0.9</v>
      </c>
      <c r="J2">
        <v>0.02</v>
      </c>
      <c r="L2">
        <v>0.32</v>
      </c>
      <c r="M2">
        <v>0.11</v>
      </c>
      <c r="N2">
        <v>0.93</v>
      </c>
      <c r="O2">
        <v>0.16</v>
      </c>
      <c r="P2">
        <v>0.03</v>
      </c>
      <c r="Q2">
        <v>0.08</v>
      </c>
      <c r="S2">
        <v>0.05</v>
      </c>
      <c r="T2">
        <v>1</v>
      </c>
      <c r="U2">
        <v>4.49</v>
      </c>
      <c r="Y2">
        <f>SUM(H:H)</f>
        <v>4.4899999999999984</v>
      </c>
    </row>
    <row r="3" spans="1:25" x14ac:dyDescent="0.25">
      <c r="A3" s="1" t="s">
        <v>22</v>
      </c>
      <c r="B3" t="s">
        <v>51</v>
      </c>
      <c r="D3">
        <v>7</v>
      </c>
      <c r="E3">
        <v>6821</v>
      </c>
      <c r="F3">
        <v>2</v>
      </c>
      <c r="G3" s="5">
        <v>2</v>
      </c>
      <c r="I3">
        <v>0.09</v>
      </c>
      <c r="L3">
        <v>0.12</v>
      </c>
      <c r="M3">
        <v>0.12</v>
      </c>
      <c r="N3">
        <v>0.23</v>
      </c>
      <c r="O3">
        <v>0.15</v>
      </c>
      <c r="R3">
        <v>0.08</v>
      </c>
      <c r="S3">
        <v>1.0900000000000001</v>
      </c>
      <c r="T3">
        <v>2</v>
      </c>
      <c r="U3">
        <v>0.8</v>
      </c>
      <c r="Y3">
        <f>SUM(I:I)</f>
        <v>0.8</v>
      </c>
    </row>
    <row r="4" spans="1:25" x14ac:dyDescent="0.25">
      <c r="A4" s="1" t="s">
        <v>23</v>
      </c>
      <c r="B4" t="s">
        <v>24</v>
      </c>
      <c r="D4">
        <v>7</v>
      </c>
      <c r="E4">
        <v>6821</v>
      </c>
      <c r="F4">
        <v>3</v>
      </c>
      <c r="G4" s="5">
        <v>3</v>
      </c>
      <c r="H4">
        <v>1.9</v>
      </c>
      <c r="K4">
        <v>0.15</v>
      </c>
      <c r="L4">
        <v>0.02</v>
      </c>
      <c r="M4">
        <v>0.04</v>
      </c>
      <c r="N4">
        <v>0.02</v>
      </c>
      <c r="O4">
        <v>0.03</v>
      </c>
      <c r="Q4">
        <v>0.02</v>
      </c>
      <c r="R4">
        <v>0.03</v>
      </c>
      <c r="S4">
        <v>0.18</v>
      </c>
      <c r="T4">
        <v>3</v>
      </c>
      <c r="U4">
        <v>2.97</v>
      </c>
      <c r="Y4">
        <f>SUM(J:J)</f>
        <v>2.9699999999999989</v>
      </c>
    </row>
    <row r="5" spans="1:25" x14ac:dyDescent="0.25">
      <c r="A5" s="1" t="s">
        <v>25</v>
      </c>
      <c r="D5">
        <v>7</v>
      </c>
      <c r="E5">
        <v>6821</v>
      </c>
      <c r="F5">
        <v>4</v>
      </c>
      <c r="G5" s="5">
        <v>4</v>
      </c>
      <c r="H5">
        <v>0.88</v>
      </c>
      <c r="K5">
        <v>0.01</v>
      </c>
      <c r="M5">
        <v>0.74</v>
      </c>
      <c r="N5">
        <v>0.35</v>
      </c>
      <c r="O5">
        <v>0.13</v>
      </c>
      <c r="P5">
        <v>0.05</v>
      </c>
      <c r="Q5">
        <v>0.02</v>
      </c>
      <c r="R5">
        <v>0.38</v>
      </c>
      <c r="S5">
        <v>0.72</v>
      </c>
      <c r="T5">
        <v>4</v>
      </c>
      <c r="U5">
        <v>2.59</v>
      </c>
      <c r="Y5">
        <f>SUM(K:K)</f>
        <v>2.59</v>
      </c>
    </row>
    <row r="6" spans="1:25" x14ac:dyDescent="0.25">
      <c r="A6" s="1" t="s">
        <v>26</v>
      </c>
      <c r="D6">
        <v>7</v>
      </c>
      <c r="E6">
        <v>6821</v>
      </c>
      <c r="F6">
        <v>5</v>
      </c>
      <c r="G6" s="5">
        <v>5</v>
      </c>
      <c r="H6">
        <v>0.1</v>
      </c>
      <c r="J6">
        <v>0.04</v>
      </c>
      <c r="L6">
        <v>0.1</v>
      </c>
      <c r="M6">
        <v>1.76</v>
      </c>
      <c r="P6">
        <v>0.01</v>
      </c>
      <c r="Q6">
        <v>0.01</v>
      </c>
      <c r="R6">
        <v>0.2</v>
      </c>
      <c r="S6">
        <v>0.1</v>
      </c>
      <c r="T6">
        <v>5</v>
      </c>
      <c r="U6">
        <v>2.83</v>
      </c>
      <c r="Y6">
        <f>SUM(L:L)</f>
        <v>2.83</v>
      </c>
    </row>
    <row r="7" spans="1:25" x14ac:dyDescent="0.25">
      <c r="A7" s="1" t="s">
        <v>27</v>
      </c>
      <c r="D7">
        <v>7</v>
      </c>
      <c r="E7">
        <v>6821</v>
      </c>
      <c r="F7">
        <v>6</v>
      </c>
      <c r="G7" s="5">
        <v>6</v>
      </c>
      <c r="H7">
        <v>0.08</v>
      </c>
      <c r="M7">
        <v>0.26</v>
      </c>
      <c r="N7">
        <v>0.4</v>
      </c>
      <c r="P7">
        <v>0.02</v>
      </c>
      <c r="R7">
        <v>0.01</v>
      </c>
      <c r="S7">
        <v>0.38</v>
      </c>
      <c r="T7">
        <v>6</v>
      </c>
      <c r="U7">
        <v>6.76</v>
      </c>
      <c r="Y7">
        <f>SUM(M:M)</f>
        <v>6.76</v>
      </c>
    </row>
    <row r="8" spans="1:25" x14ac:dyDescent="0.25">
      <c r="A8" s="1" t="s">
        <v>28</v>
      </c>
      <c r="D8">
        <v>7</v>
      </c>
      <c r="E8">
        <v>6821</v>
      </c>
      <c r="F8">
        <v>7</v>
      </c>
      <c r="G8" s="5">
        <v>7</v>
      </c>
      <c r="H8">
        <v>0.01</v>
      </c>
      <c r="I8">
        <v>0.03</v>
      </c>
      <c r="J8">
        <v>0.17</v>
      </c>
      <c r="K8">
        <v>0.02</v>
      </c>
      <c r="M8">
        <v>0.51</v>
      </c>
      <c r="R8">
        <v>0.55000000000000004</v>
      </c>
      <c r="S8">
        <v>0.01</v>
      </c>
      <c r="T8">
        <v>7</v>
      </c>
      <c r="U8">
        <v>5.96</v>
      </c>
      <c r="Y8">
        <f>SUM(N:N)</f>
        <v>5.96</v>
      </c>
    </row>
    <row r="9" spans="1:25" x14ac:dyDescent="0.25">
      <c r="A9" s="1" t="s">
        <v>29</v>
      </c>
      <c r="B9">
        <v>1888</v>
      </c>
      <c r="D9">
        <v>7</v>
      </c>
      <c r="E9">
        <v>6821</v>
      </c>
      <c r="F9">
        <v>8</v>
      </c>
      <c r="G9" s="5">
        <v>8</v>
      </c>
      <c r="J9">
        <v>0.3</v>
      </c>
      <c r="K9">
        <v>0.02</v>
      </c>
      <c r="M9">
        <v>0.05</v>
      </c>
      <c r="R9">
        <v>0.92</v>
      </c>
      <c r="T9">
        <v>8</v>
      </c>
      <c r="U9">
        <v>3.74</v>
      </c>
      <c r="Y9">
        <f>SUM(O:O)</f>
        <v>3.7399999999999998</v>
      </c>
    </row>
    <row r="10" spans="1:25" x14ac:dyDescent="0.25">
      <c r="A10" s="1" t="s">
        <v>16</v>
      </c>
      <c r="B10">
        <v>1</v>
      </c>
      <c r="D10">
        <v>7</v>
      </c>
      <c r="E10">
        <v>6821</v>
      </c>
      <c r="F10">
        <v>9</v>
      </c>
      <c r="G10" s="5">
        <v>9</v>
      </c>
      <c r="J10">
        <v>0.05</v>
      </c>
      <c r="L10">
        <v>0.28000000000000003</v>
      </c>
      <c r="R10">
        <v>7.0000000000000007E-2</v>
      </c>
      <c r="T10">
        <v>9</v>
      </c>
      <c r="U10">
        <v>0.9</v>
      </c>
      <c r="Y10">
        <f>SUM(P:P)</f>
        <v>0.89999999999999991</v>
      </c>
    </row>
    <row r="11" spans="1:25" x14ac:dyDescent="0.25">
      <c r="A11" s="1" t="s">
        <v>3</v>
      </c>
      <c r="B11">
        <v>1</v>
      </c>
      <c r="D11">
        <v>7</v>
      </c>
      <c r="E11">
        <v>6821</v>
      </c>
      <c r="F11">
        <v>10</v>
      </c>
      <c r="G11" s="5">
        <v>10</v>
      </c>
      <c r="H11">
        <v>0.05</v>
      </c>
      <c r="I11">
        <v>0.03</v>
      </c>
      <c r="J11">
        <v>0.82</v>
      </c>
      <c r="K11">
        <v>0.08</v>
      </c>
      <c r="Q11">
        <v>0.01</v>
      </c>
      <c r="R11">
        <v>0.71</v>
      </c>
      <c r="S11">
        <v>1.47</v>
      </c>
      <c r="T11">
        <v>10</v>
      </c>
      <c r="U11">
        <v>3.31</v>
      </c>
      <c r="Y11">
        <f>SUM(Q:Q)</f>
        <v>3.31</v>
      </c>
    </row>
    <row r="12" spans="1:25" x14ac:dyDescent="0.25">
      <c r="A12" s="1" t="s">
        <v>30</v>
      </c>
      <c r="B12" t="s">
        <v>24</v>
      </c>
      <c r="D12">
        <v>7</v>
      </c>
      <c r="E12">
        <v>6821</v>
      </c>
      <c r="F12">
        <v>11</v>
      </c>
      <c r="G12" s="5">
        <v>11</v>
      </c>
      <c r="J12">
        <v>0.14000000000000001</v>
      </c>
      <c r="K12">
        <v>0.03</v>
      </c>
      <c r="M12">
        <v>1.34</v>
      </c>
      <c r="O12">
        <v>0.26</v>
      </c>
      <c r="R12">
        <v>0.28000000000000003</v>
      </c>
      <c r="S12">
        <v>0.3</v>
      </c>
      <c r="T12">
        <v>11</v>
      </c>
      <c r="U12">
        <v>5.87</v>
      </c>
      <c r="Y12">
        <f>SUM(R:R)</f>
        <v>5.8699999999999983</v>
      </c>
    </row>
    <row r="13" spans="1:25" x14ac:dyDescent="0.25">
      <c r="A13" s="1" t="s">
        <v>31</v>
      </c>
      <c r="B13" t="s">
        <v>55</v>
      </c>
      <c r="D13">
        <v>7</v>
      </c>
      <c r="E13">
        <v>6821</v>
      </c>
      <c r="F13">
        <v>12</v>
      </c>
      <c r="G13" s="5">
        <v>12</v>
      </c>
      <c r="J13">
        <v>0.33</v>
      </c>
      <c r="K13">
        <v>0.02</v>
      </c>
      <c r="M13">
        <v>0.23</v>
      </c>
      <c r="O13">
        <v>0.03</v>
      </c>
      <c r="Q13">
        <v>0.01</v>
      </c>
      <c r="R13">
        <v>0.01</v>
      </c>
      <c r="S13">
        <v>0.03</v>
      </c>
      <c r="T13">
        <v>12</v>
      </c>
      <c r="U13">
        <v>8.7200000000000006</v>
      </c>
      <c r="Y13">
        <f>SUM(S:S)</f>
        <v>8.7200000000000006</v>
      </c>
    </row>
    <row r="14" spans="1:25" x14ac:dyDescent="0.25">
      <c r="A14" s="1"/>
      <c r="D14">
        <v>7</v>
      </c>
      <c r="E14">
        <v>6821</v>
      </c>
      <c r="F14">
        <v>13</v>
      </c>
      <c r="G14" s="5">
        <v>13</v>
      </c>
      <c r="I14">
        <v>0.41</v>
      </c>
      <c r="J14">
        <v>0.37</v>
      </c>
      <c r="K14">
        <v>0.02</v>
      </c>
      <c r="M14">
        <v>0.01</v>
      </c>
      <c r="R14">
        <v>0.04</v>
      </c>
    </row>
    <row r="15" spans="1:25" x14ac:dyDescent="0.25">
      <c r="A15" s="1" t="s">
        <v>0</v>
      </c>
      <c r="B15">
        <v>7</v>
      </c>
      <c r="D15">
        <v>7</v>
      </c>
      <c r="E15">
        <v>6821</v>
      </c>
      <c r="F15">
        <v>14</v>
      </c>
      <c r="G15" s="5">
        <v>14</v>
      </c>
      <c r="J15">
        <v>0.13</v>
      </c>
      <c r="K15">
        <v>0.08</v>
      </c>
      <c r="M15">
        <v>0.28000000000000003</v>
      </c>
      <c r="P15">
        <v>0.06</v>
      </c>
      <c r="R15">
        <v>0.22</v>
      </c>
      <c r="S15">
        <v>0.02</v>
      </c>
    </row>
    <row r="16" spans="1:25" x14ac:dyDescent="0.25">
      <c r="A16" s="1" t="s">
        <v>32</v>
      </c>
      <c r="B16">
        <v>6821</v>
      </c>
      <c r="D16">
        <v>7</v>
      </c>
      <c r="E16">
        <v>6821</v>
      </c>
      <c r="F16">
        <v>15</v>
      </c>
      <c r="G16" s="5">
        <v>15</v>
      </c>
      <c r="J16">
        <v>0.01</v>
      </c>
      <c r="L16">
        <v>0.22</v>
      </c>
      <c r="R16">
        <v>0.15</v>
      </c>
    </row>
    <row r="17" spans="1:19" x14ac:dyDescent="0.25">
      <c r="A17" s="1" t="s">
        <v>33</v>
      </c>
      <c r="B17">
        <v>1</v>
      </c>
      <c r="D17">
        <v>7</v>
      </c>
      <c r="E17">
        <v>6821</v>
      </c>
      <c r="F17">
        <v>16</v>
      </c>
      <c r="G17" s="5">
        <v>16</v>
      </c>
      <c r="K17">
        <v>0.27</v>
      </c>
      <c r="L17">
        <v>0.21</v>
      </c>
      <c r="N17">
        <v>0.11</v>
      </c>
    </row>
    <row r="18" spans="1:19" x14ac:dyDescent="0.25">
      <c r="A18" s="1" t="s">
        <v>34</v>
      </c>
      <c r="B18" t="s">
        <v>24</v>
      </c>
      <c r="D18">
        <v>7</v>
      </c>
      <c r="E18">
        <v>6821</v>
      </c>
      <c r="F18">
        <v>17</v>
      </c>
      <c r="G18" s="5">
        <v>17</v>
      </c>
      <c r="H18">
        <v>0.01</v>
      </c>
      <c r="K18">
        <v>0.45</v>
      </c>
      <c r="L18">
        <v>0.33</v>
      </c>
      <c r="N18">
        <v>0.08</v>
      </c>
      <c r="R18">
        <v>0.08</v>
      </c>
      <c r="S18">
        <v>0.02</v>
      </c>
    </row>
    <row r="19" spans="1:19" x14ac:dyDescent="0.25">
      <c r="A19" s="1" t="s">
        <v>29</v>
      </c>
      <c r="B19">
        <v>1888</v>
      </c>
      <c r="D19">
        <v>7</v>
      </c>
      <c r="E19">
        <v>6821</v>
      </c>
      <c r="F19">
        <v>18</v>
      </c>
      <c r="G19" s="5">
        <v>18</v>
      </c>
      <c r="I19">
        <v>0.13</v>
      </c>
      <c r="K19">
        <v>0.1</v>
      </c>
      <c r="L19">
        <v>0.09</v>
      </c>
      <c r="N19">
        <v>0.02</v>
      </c>
      <c r="S19">
        <v>0.12</v>
      </c>
    </row>
    <row r="20" spans="1:19" x14ac:dyDescent="0.25">
      <c r="A20" s="1" t="s">
        <v>35</v>
      </c>
      <c r="B20" t="s">
        <v>51</v>
      </c>
      <c r="D20">
        <v>7</v>
      </c>
      <c r="E20">
        <v>6821</v>
      </c>
      <c r="F20">
        <v>19</v>
      </c>
      <c r="G20" s="5">
        <v>19</v>
      </c>
      <c r="H20">
        <v>0.09</v>
      </c>
      <c r="I20">
        <v>0.05</v>
      </c>
      <c r="K20">
        <v>0.2</v>
      </c>
      <c r="L20">
        <v>0.03</v>
      </c>
      <c r="N20">
        <v>0.22</v>
      </c>
      <c r="O20">
        <v>1.03</v>
      </c>
      <c r="R20">
        <v>0.15</v>
      </c>
      <c r="S20">
        <v>1.82</v>
      </c>
    </row>
    <row r="21" spans="1:19" x14ac:dyDescent="0.25">
      <c r="A21" s="1" t="s">
        <v>36</v>
      </c>
      <c r="B21" t="s">
        <v>52</v>
      </c>
      <c r="D21">
        <v>7</v>
      </c>
      <c r="E21">
        <v>6821</v>
      </c>
      <c r="F21">
        <v>20</v>
      </c>
      <c r="G21" s="5">
        <v>20</v>
      </c>
      <c r="H21">
        <v>0.34</v>
      </c>
      <c r="I21">
        <v>0.03</v>
      </c>
      <c r="M21">
        <v>0.05</v>
      </c>
      <c r="N21">
        <v>0.12</v>
      </c>
      <c r="O21">
        <v>0.31</v>
      </c>
      <c r="R21">
        <v>0.11</v>
      </c>
      <c r="S21">
        <v>0.44</v>
      </c>
    </row>
    <row r="22" spans="1:19" x14ac:dyDescent="0.25">
      <c r="A22" s="1" t="s">
        <v>37</v>
      </c>
      <c r="D22">
        <v>7</v>
      </c>
      <c r="E22">
        <v>6821</v>
      </c>
      <c r="F22">
        <v>21</v>
      </c>
      <c r="G22" s="5">
        <v>21</v>
      </c>
      <c r="J22">
        <v>0.09</v>
      </c>
      <c r="M22">
        <v>0.34</v>
      </c>
      <c r="N22">
        <v>0.74</v>
      </c>
      <c r="O22">
        <v>0.33</v>
      </c>
      <c r="S22">
        <v>0.27</v>
      </c>
    </row>
    <row r="23" spans="1:19" x14ac:dyDescent="0.25">
      <c r="A23" s="1" t="s">
        <v>38</v>
      </c>
      <c r="D23">
        <v>7</v>
      </c>
      <c r="E23">
        <v>6821</v>
      </c>
      <c r="F23">
        <v>22</v>
      </c>
      <c r="G23" s="5">
        <v>22</v>
      </c>
      <c r="J23">
        <v>0.03</v>
      </c>
      <c r="N23">
        <v>0.2</v>
      </c>
      <c r="O23">
        <v>0.24</v>
      </c>
      <c r="S23">
        <v>0.24</v>
      </c>
    </row>
    <row r="24" spans="1:19" x14ac:dyDescent="0.25">
      <c r="A24" s="1" t="s">
        <v>39</v>
      </c>
      <c r="D24">
        <v>7</v>
      </c>
      <c r="E24">
        <v>6821</v>
      </c>
      <c r="F24">
        <v>23</v>
      </c>
      <c r="G24" s="5">
        <v>23</v>
      </c>
      <c r="K24">
        <v>0.02</v>
      </c>
      <c r="N24">
        <v>0.06</v>
      </c>
      <c r="O24">
        <v>0.2</v>
      </c>
      <c r="R24">
        <v>0.09</v>
      </c>
      <c r="S24">
        <v>0.18</v>
      </c>
    </row>
    <row r="25" spans="1:19" x14ac:dyDescent="0.25">
      <c r="A25" s="1" t="s">
        <v>40</v>
      </c>
      <c r="D25">
        <v>7</v>
      </c>
      <c r="E25">
        <v>6821</v>
      </c>
      <c r="F25">
        <v>24</v>
      </c>
      <c r="G25" s="5">
        <v>24</v>
      </c>
      <c r="I25">
        <v>0.01</v>
      </c>
      <c r="M25">
        <v>0.02</v>
      </c>
      <c r="N25">
        <v>0.49</v>
      </c>
      <c r="O25">
        <v>0.01</v>
      </c>
      <c r="Q25">
        <v>0.19</v>
      </c>
      <c r="R25">
        <v>0.02</v>
      </c>
      <c r="S25">
        <v>0.02</v>
      </c>
    </row>
    <row r="26" spans="1:19" x14ac:dyDescent="0.25">
      <c r="A26" s="1" t="s">
        <v>41</v>
      </c>
      <c r="D26">
        <v>7</v>
      </c>
      <c r="E26">
        <v>6821</v>
      </c>
      <c r="F26">
        <v>25</v>
      </c>
      <c r="G26" s="5">
        <v>25</v>
      </c>
      <c r="H26">
        <v>0.01</v>
      </c>
      <c r="I26">
        <v>0.01</v>
      </c>
      <c r="J26">
        <v>0.05</v>
      </c>
      <c r="N26">
        <v>0.32</v>
      </c>
      <c r="O26">
        <v>0.06</v>
      </c>
      <c r="Q26">
        <v>0.33</v>
      </c>
      <c r="R26">
        <v>0.09</v>
      </c>
      <c r="S26">
        <v>0.48</v>
      </c>
    </row>
    <row r="27" spans="1:19" x14ac:dyDescent="0.25">
      <c r="A27" s="1" t="s">
        <v>31</v>
      </c>
      <c r="B27" t="s">
        <v>55</v>
      </c>
      <c r="D27">
        <v>7</v>
      </c>
      <c r="E27">
        <v>6821</v>
      </c>
      <c r="F27">
        <v>26</v>
      </c>
      <c r="G27" s="5">
        <v>26</v>
      </c>
      <c r="M27">
        <v>0.32</v>
      </c>
      <c r="N27">
        <v>0.46</v>
      </c>
      <c r="O27">
        <v>0.03</v>
      </c>
      <c r="Q27">
        <v>0.45</v>
      </c>
      <c r="R27">
        <v>0.7</v>
      </c>
      <c r="S27">
        <v>0.63</v>
      </c>
    </row>
    <row r="28" spans="1:19" x14ac:dyDescent="0.25">
      <c r="A28" s="1" t="s">
        <v>42</v>
      </c>
      <c r="B28">
        <v>48.94</v>
      </c>
      <c r="D28">
        <v>7</v>
      </c>
      <c r="E28">
        <v>6821</v>
      </c>
      <c r="F28">
        <v>27</v>
      </c>
      <c r="G28" s="5">
        <v>27</v>
      </c>
      <c r="H28">
        <v>0.02</v>
      </c>
      <c r="J28">
        <v>0.05</v>
      </c>
      <c r="M28">
        <v>0.55000000000000004</v>
      </c>
      <c r="N28">
        <v>0.92</v>
      </c>
      <c r="O28">
        <v>0.27</v>
      </c>
      <c r="P28">
        <v>0.73</v>
      </c>
      <c r="Q28">
        <v>1.37</v>
      </c>
      <c r="R28">
        <v>0.28999999999999998</v>
      </c>
    </row>
    <row r="29" spans="1:19" x14ac:dyDescent="0.25">
      <c r="A29" s="1" t="s">
        <v>43</v>
      </c>
      <c r="D29">
        <v>7</v>
      </c>
      <c r="E29">
        <v>6821</v>
      </c>
      <c r="F29">
        <v>28</v>
      </c>
      <c r="G29" s="5">
        <v>28</v>
      </c>
      <c r="J29">
        <v>0.25</v>
      </c>
      <c r="K29">
        <v>0.12</v>
      </c>
      <c r="M29">
        <v>0.03</v>
      </c>
      <c r="O29">
        <v>0.28999999999999998</v>
      </c>
      <c r="Q29">
        <v>0.21</v>
      </c>
      <c r="R29">
        <v>0.68</v>
      </c>
    </row>
    <row r="30" spans="1:19" x14ac:dyDescent="0.25">
      <c r="A30" s="1" t="s">
        <v>44</v>
      </c>
      <c r="D30">
        <v>7</v>
      </c>
      <c r="E30">
        <v>6821</v>
      </c>
      <c r="F30">
        <v>29</v>
      </c>
      <c r="G30" s="5">
        <v>29</v>
      </c>
      <c r="I30">
        <v>0.01</v>
      </c>
      <c r="J30">
        <v>0.08</v>
      </c>
      <c r="K30">
        <v>0.32</v>
      </c>
      <c r="L30">
        <v>1.1100000000000001</v>
      </c>
      <c r="N30">
        <v>0.26</v>
      </c>
      <c r="O30">
        <v>0.21</v>
      </c>
      <c r="Q30">
        <v>0.12</v>
      </c>
      <c r="R30">
        <v>0.01</v>
      </c>
    </row>
    <row r="31" spans="1:19" x14ac:dyDescent="0.25">
      <c r="A31" s="1" t="s">
        <v>45</v>
      </c>
      <c r="B31" t="s">
        <v>54</v>
      </c>
      <c r="D31">
        <v>7</v>
      </c>
      <c r="E31">
        <v>6821</v>
      </c>
      <c r="F31">
        <v>30</v>
      </c>
      <c r="G31" s="5">
        <v>30</v>
      </c>
      <c r="H31">
        <v>0.05</v>
      </c>
      <c r="J31">
        <v>0.03</v>
      </c>
      <c r="K31">
        <v>0.68</v>
      </c>
      <c r="N31">
        <v>0.01</v>
      </c>
      <c r="Q31">
        <v>0.42</v>
      </c>
    </row>
    <row r="32" spans="1:19" x14ac:dyDescent="0.25">
      <c r="A32" s="1" t="s">
        <v>46</v>
      </c>
      <c r="D32">
        <v>7</v>
      </c>
      <c r="E32">
        <v>6821</v>
      </c>
      <c r="F32">
        <v>31</v>
      </c>
      <c r="G32" s="5">
        <v>31</v>
      </c>
      <c r="H32">
        <v>0.05</v>
      </c>
      <c r="J32">
        <v>0.01</v>
      </c>
      <c r="N32">
        <v>0.02</v>
      </c>
      <c r="Q32">
        <v>7.0000000000000007E-2</v>
      </c>
      <c r="S32">
        <v>0.15</v>
      </c>
    </row>
    <row r="33" spans="1:3" x14ac:dyDescent="0.25">
      <c r="A33" s="1" t="s">
        <v>47</v>
      </c>
    </row>
    <row r="34" spans="1:3" x14ac:dyDescent="0.25">
      <c r="A34" s="1" t="s">
        <v>48</v>
      </c>
    </row>
    <row r="35" spans="1:3" x14ac:dyDescent="0.25">
      <c r="A35" s="1" t="s">
        <v>49</v>
      </c>
    </row>
    <row r="36" spans="1:3" x14ac:dyDescent="0.25">
      <c r="A36" s="1" t="s">
        <v>50</v>
      </c>
      <c r="C36" t="s">
        <v>53</v>
      </c>
    </row>
  </sheetData>
  <mergeCells count="1">
    <mergeCell ref="W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2018-03-20T14:22:40Z</dcterms:modified>
</cp:coreProperties>
</file>